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y Drive\CollabrativeWork\2024-KCL_UoS-Fire_Analysis_of_LIBS\Data_and_analysis\ExperimentalData\"/>
    </mc:Choice>
  </mc:AlternateContent>
  <xr:revisionPtr revIDLastSave="0" documentId="13_ncr:1_{7AFDD4BB-3FA8-4662-8613-E02E8BC48C0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efore" sheetId="1" r:id="rId1"/>
    <sheet name="Cycling data" sheetId="6" r:id="rId2"/>
    <sheet name="After" sheetId="3" r:id="rId3"/>
    <sheet name="Mass" sheetId="5" r:id="rId4"/>
    <sheet name="DropDown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5" l="1"/>
  <c r="L28" i="5"/>
  <c r="L27" i="5"/>
  <c r="L26" i="5"/>
  <c r="L25" i="5"/>
  <c r="L24" i="5"/>
  <c r="L23" i="5"/>
  <c r="L22" i="5"/>
  <c r="O3" i="5" l="1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N20" i="5" s="1"/>
  <c r="O21" i="5"/>
  <c r="O22" i="5"/>
  <c r="O23" i="5"/>
  <c r="O24" i="5"/>
  <c r="O25" i="5"/>
  <c r="O26" i="5"/>
  <c r="O27" i="5"/>
  <c r="O28" i="5"/>
  <c r="O29" i="5"/>
  <c r="N29" i="5" s="1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N23" i="5" s="1"/>
  <c r="M24" i="5"/>
  <c r="M25" i="5"/>
  <c r="M26" i="5"/>
  <c r="N26" i="5" s="1"/>
  <c r="M27" i="5"/>
  <c r="M28" i="5"/>
  <c r="N28" i="5" s="1"/>
  <c r="M29" i="5"/>
  <c r="L3" i="5"/>
  <c r="N3" i="5" s="1"/>
  <c r="L4" i="5"/>
  <c r="N4" i="5" s="1"/>
  <c r="L5" i="5"/>
  <c r="N5" i="5" s="1"/>
  <c r="L6" i="5"/>
  <c r="N6" i="5" s="1"/>
  <c r="L7" i="5"/>
  <c r="L8" i="5"/>
  <c r="N8" i="5" s="1"/>
  <c r="L9" i="5"/>
  <c r="L10" i="5"/>
  <c r="L11" i="5"/>
  <c r="L12" i="5"/>
  <c r="N12" i="5" s="1"/>
  <c r="L13" i="5"/>
  <c r="L14" i="5"/>
  <c r="N14" i="5" s="1"/>
  <c r="L15" i="5"/>
  <c r="L16" i="5"/>
  <c r="L17" i="5"/>
  <c r="L18" i="5"/>
  <c r="L19" i="5"/>
  <c r="L20" i="5"/>
  <c r="L21" i="5"/>
  <c r="L2" i="5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N7" i="5" l="1"/>
  <c r="N17" i="5"/>
  <c r="N27" i="5"/>
  <c r="N19" i="5"/>
  <c r="N13" i="5"/>
  <c r="N11" i="5"/>
  <c r="N10" i="5"/>
  <c r="N9" i="5"/>
  <c r="N25" i="5"/>
  <c r="N24" i="5"/>
  <c r="N22" i="5"/>
  <c r="N21" i="5"/>
  <c r="N18" i="5"/>
  <c r="N16" i="5"/>
  <c r="N15" i="5"/>
  <c r="D3" i="1"/>
  <c r="D4" i="1"/>
  <c r="D5" i="1"/>
  <c r="D6" i="1"/>
  <c r="D7" i="1"/>
  <c r="D8" i="1"/>
  <c r="D9" i="1"/>
  <c r="D10" i="1"/>
  <c r="D11" i="1"/>
  <c r="D12" i="1"/>
  <c r="D13" i="1"/>
  <c r="D2" i="1"/>
  <c r="E3" i="1" l="1"/>
  <c r="B3" i="5" s="1"/>
  <c r="E4" i="1"/>
  <c r="B4" i="5" s="1"/>
  <c r="E5" i="1"/>
  <c r="B5" i="6" s="1"/>
  <c r="E6" i="1"/>
  <c r="B6" i="5" s="1"/>
  <c r="E7" i="1"/>
  <c r="B7" i="5" s="1"/>
  <c r="E8" i="1"/>
  <c r="B8" i="5" s="1"/>
  <c r="E9" i="1"/>
  <c r="B9" i="5" s="1"/>
  <c r="E10" i="1"/>
  <c r="B10" i="5" s="1"/>
  <c r="E11" i="1"/>
  <c r="B11" i="5" s="1"/>
  <c r="E12" i="1"/>
  <c r="B12" i="5" s="1"/>
  <c r="E13" i="1"/>
  <c r="B13" i="5" s="1"/>
  <c r="E14" i="1"/>
  <c r="B14" i="5" s="1"/>
  <c r="E15" i="1"/>
  <c r="B15" i="5" s="1"/>
  <c r="E16" i="1"/>
  <c r="B16" i="5" s="1"/>
  <c r="E17" i="1"/>
  <c r="B17" i="5" s="1"/>
  <c r="E18" i="1"/>
  <c r="B18" i="6" s="1"/>
  <c r="E19" i="1"/>
  <c r="B19" i="6" s="1"/>
  <c r="E20" i="1"/>
  <c r="B20" i="6" s="1"/>
  <c r="E21" i="1"/>
  <c r="B21" i="6" s="1"/>
  <c r="E22" i="1"/>
  <c r="B22" i="6" s="1"/>
  <c r="E23" i="1"/>
  <c r="B23" i="5" s="1"/>
  <c r="E24" i="1"/>
  <c r="B24" i="5" s="1"/>
  <c r="E25" i="1"/>
  <c r="B25" i="6" s="1"/>
  <c r="E26" i="1"/>
  <c r="B26" i="6" s="1"/>
  <c r="E27" i="1"/>
  <c r="B27" i="6" s="1"/>
  <c r="E28" i="1"/>
  <c r="B28" i="5" s="1"/>
  <c r="E29" i="1"/>
  <c r="B29" i="5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2" i="1"/>
  <c r="V3" i="1"/>
  <c r="D3" i="3"/>
  <c r="V4" i="1"/>
  <c r="D4" i="3"/>
  <c r="V5" i="1"/>
  <c r="D5" i="3"/>
  <c r="V6" i="1"/>
  <c r="D6" i="3"/>
  <c r="V7" i="1"/>
  <c r="D7" i="3"/>
  <c r="U8" i="1"/>
  <c r="V8" i="1"/>
  <c r="D8" i="3"/>
  <c r="V9" i="1"/>
  <c r="D9" i="3"/>
  <c r="V10" i="1"/>
  <c r="D10" i="3"/>
  <c r="V11" i="1"/>
  <c r="D11" i="3"/>
  <c r="V12" i="1"/>
  <c r="D12" i="3"/>
  <c r="V13" i="1"/>
  <c r="D13" i="3"/>
  <c r="U14" i="1"/>
  <c r="V14" i="1"/>
  <c r="D14" i="3"/>
  <c r="V15" i="1"/>
  <c r="D15" i="3"/>
  <c r="V16" i="1"/>
  <c r="D16" i="3"/>
  <c r="V17" i="1"/>
  <c r="D17" i="3"/>
  <c r="U18" i="1"/>
  <c r="V18" i="1"/>
  <c r="D18" i="3"/>
  <c r="V19" i="1"/>
  <c r="D19" i="3"/>
  <c r="V20" i="1"/>
  <c r="D20" i="3"/>
  <c r="V21" i="1"/>
  <c r="D21" i="3"/>
  <c r="V22" i="1"/>
  <c r="D22" i="3"/>
  <c r="V23" i="1"/>
  <c r="D23" i="3"/>
  <c r="V24" i="1"/>
  <c r="D24" i="3"/>
  <c r="V25" i="1"/>
  <c r="D25" i="3"/>
  <c r="V26" i="1"/>
  <c r="D26" i="3"/>
  <c r="V27" i="1"/>
  <c r="D27" i="3"/>
  <c r="V28" i="1"/>
  <c r="D28" i="3"/>
  <c r="V29" i="1"/>
  <c r="D29" i="3"/>
  <c r="O2" i="5"/>
  <c r="M2" i="5"/>
  <c r="U2" i="1"/>
  <c r="B27" i="5" l="1"/>
  <c r="B25" i="5"/>
  <c r="A18" i="1"/>
  <c r="A18" i="5" s="1"/>
  <c r="A8" i="1"/>
  <c r="A8" i="6" s="1"/>
  <c r="A14" i="1"/>
  <c r="A14" i="5" s="1"/>
  <c r="U29" i="1"/>
  <c r="A29" i="1" s="1"/>
  <c r="A29" i="6" s="1"/>
  <c r="C29" i="3"/>
  <c r="U24" i="1"/>
  <c r="A24" i="1" s="1"/>
  <c r="A24" i="5" s="1"/>
  <c r="C24" i="3"/>
  <c r="U16" i="1"/>
  <c r="A16" i="1" s="1"/>
  <c r="A16" i="5" s="1"/>
  <c r="C16" i="3"/>
  <c r="C19" i="3"/>
  <c r="U17" i="1"/>
  <c r="A17" i="1" s="1"/>
  <c r="A17" i="5" s="1"/>
  <c r="C17" i="3"/>
  <c r="U27" i="1"/>
  <c r="A27" i="1" s="1"/>
  <c r="A27" i="5" s="1"/>
  <c r="C27" i="3"/>
  <c r="U22" i="1"/>
  <c r="A22" i="1" s="1"/>
  <c r="A22" i="5" s="1"/>
  <c r="C22" i="3"/>
  <c r="U19" i="1"/>
  <c r="A19" i="1" s="1"/>
  <c r="A19" i="6" s="1"/>
  <c r="B24" i="6"/>
  <c r="U9" i="1"/>
  <c r="A9" i="1" s="1"/>
  <c r="A9" i="6" s="1"/>
  <c r="C9" i="3"/>
  <c r="U26" i="1"/>
  <c r="A26" i="1" s="1"/>
  <c r="A26" i="6" s="1"/>
  <c r="C26" i="3"/>
  <c r="U21" i="1"/>
  <c r="A21" i="1" s="1"/>
  <c r="A21" i="5" s="1"/>
  <c r="C21" i="3"/>
  <c r="U11" i="1"/>
  <c r="A11" i="1" s="1"/>
  <c r="A11" i="5" s="1"/>
  <c r="C11" i="3"/>
  <c r="U10" i="1"/>
  <c r="A10" i="1" s="1"/>
  <c r="A10" i="6" s="1"/>
  <c r="C10" i="3"/>
  <c r="U12" i="1"/>
  <c r="A12" i="1" s="1"/>
  <c r="A12" i="5" s="1"/>
  <c r="C12" i="3"/>
  <c r="U15" i="1"/>
  <c r="A15" i="1" s="1"/>
  <c r="A15" i="5" s="1"/>
  <c r="C15" i="3"/>
  <c r="U25" i="1"/>
  <c r="A25" i="1" s="1"/>
  <c r="A25" i="6" s="1"/>
  <c r="C25" i="3"/>
  <c r="U20" i="1"/>
  <c r="A20" i="1" s="1"/>
  <c r="A20" i="5" s="1"/>
  <c r="C20" i="3"/>
  <c r="C14" i="3"/>
  <c r="C8" i="3"/>
  <c r="C18" i="3"/>
  <c r="V2" i="1"/>
  <c r="N2" i="5"/>
  <c r="C2" i="3" s="1"/>
  <c r="U13" i="1"/>
  <c r="A13" i="1" s="1"/>
  <c r="A13" i="6" s="1"/>
  <c r="C13" i="3"/>
  <c r="U28" i="1"/>
  <c r="A28" i="1" s="1"/>
  <c r="A28" i="5" s="1"/>
  <c r="C28" i="3"/>
  <c r="U23" i="1"/>
  <c r="A23" i="1" s="1"/>
  <c r="A23" i="5" s="1"/>
  <c r="C23" i="3"/>
  <c r="U7" i="1"/>
  <c r="A7" i="1" s="1"/>
  <c r="A7" i="5" s="1"/>
  <c r="C7" i="3"/>
  <c r="C6" i="3"/>
  <c r="U6" i="1"/>
  <c r="A6" i="1" s="1"/>
  <c r="A6" i="5" s="1"/>
  <c r="U5" i="1"/>
  <c r="A5" i="1" s="1"/>
  <c r="A5" i="5" s="1"/>
  <c r="C5" i="3"/>
  <c r="U4" i="1"/>
  <c r="A4" i="1" s="1"/>
  <c r="A4" i="6" s="1"/>
  <c r="C4" i="3"/>
  <c r="U3" i="1"/>
  <c r="A3" i="1" s="1"/>
  <c r="A3" i="6" s="1"/>
  <c r="C3" i="3"/>
  <c r="B26" i="5"/>
  <c r="B29" i="6"/>
  <c r="D2" i="3"/>
  <c r="B3" i="6"/>
  <c r="B23" i="6"/>
  <c r="B7" i="6"/>
  <c r="B6" i="6"/>
  <c r="B16" i="6"/>
  <c r="B4" i="6"/>
  <c r="B28" i="6"/>
  <c r="B17" i="6"/>
  <c r="B15" i="6"/>
  <c r="B14" i="6"/>
  <c r="B13" i="6"/>
  <c r="B11" i="6"/>
  <c r="B10" i="6"/>
  <c r="B9" i="6"/>
  <c r="B8" i="6"/>
  <c r="B21" i="5"/>
  <c r="B18" i="5"/>
  <c r="B12" i="6"/>
  <c r="B20" i="5"/>
  <c r="B5" i="5"/>
  <c r="A8" i="5"/>
  <c r="B22" i="5"/>
  <c r="B19" i="5"/>
  <c r="A29" i="5" l="1"/>
  <c r="A28" i="6"/>
  <c r="A27" i="6"/>
  <c r="A26" i="5"/>
  <c r="A25" i="5"/>
  <c r="A24" i="6"/>
  <c r="A23" i="6"/>
  <c r="A22" i="6"/>
  <c r="A18" i="6"/>
  <c r="A9" i="5"/>
  <c r="A14" i="6"/>
  <c r="A19" i="5"/>
  <c r="A20" i="6"/>
  <c r="A17" i="6"/>
  <c r="A15" i="6"/>
  <c r="A21" i="6"/>
  <c r="A16" i="6"/>
  <c r="A13" i="5"/>
  <c r="A12" i="6"/>
  <c r="A11" i="6"/>
  <c r="A10" i="5"/>
  <c r="A7" i="6"/>
  <c r="A6" i="6"/>
  <c r="A5" i="6"/>
  <c r="A4" i="5"/>
  <c r="A3" i="5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E2" i="1" l="1"/>
  <c r="A2" i="1" s="1"/>
  <c r="A2" i="6" s="1"/>
  <c r="B2" i="6" l="1"/>
  <c r="B2" i="5"/>
  <c r="B2" i="3"/>
  <c r="A2" i="3" l="1"/>
  <c r="A2" i="5"/>
</calcChain>
</file>

<file path=xl/sharedStrings.xml><?xml version="1.0" encoding="utf-8"?>
<sst xmlns="http://schemas.openxmlformats.org/spreadsheetml/2006/main" count="598" uniqueCount="93">
  <si>
    <t>Date</t>
  </si>
  <si>
    <t>Cell Model</t>
  </si>
  <si>
    <t>Form</t>
  </si>
  <si>
    <t>Size</t>
  </si>
  <si>
    <t>Chemistry</t>
  </si>
  <si>
    <t>Nominal voltage (V)</t>
  </si>
  <si>
    <t>Rated Capacity (Ah)</t>
  </si>
  <si>
    <t>SOC (for experiment)</t>
  </si>
  <si>
    <t>Heater power, Ideal (W)</t>
  </si>
  <si>
    <t>Date of Manufacture</t>
  </si>
  <si>
    <t>Date of Purchase</t>
  </si>
  <si>
    <t>(Daily) Test Number</t>
  </si>
  <si>
    <t>Test ID (Short)</t>
  </si>
  <si>
    <t>File Name (Test ID Long)</t>
  </si>
  <si>
    <t>Cell Mass before test (g)</t>
  </si>
  <si>
    <t>Cell Mass after test (g)</t>
  </si>
  <si>
    <t>Cell+heater Mass after test (g)</t>
  </si>
  <si>
    <t>Cell+heater Mass before test (g)</t>
  </si>
  <si>
    <t>Cylindrical</t>
  </si>
  <si>
    <t>LFP</t>
  </si>
  <si>
    <t>LCO</t>
  </si>
  <si>
    <t>NMC</t>
  </si>
  <si>
    <t>NCA</t>
  </si>
  <si>
    <t>LMO</t>
  </si>
  <si>
    <t>LTO</t>
  </si>
  <si>
    <t>Pouch</t>
  </si>
  <si>
    <t>Prismatic</t>
  </si>
  <si>
    <t>Brand</t>
  </si>
  <si>
    <t>RS</t>
  </si>
  <si>
    <t>Unknown</t>
  </si>
  <si>
    <t>Bottom Vent?</t>
  </si>
  <si>
    <t>N</t>
  </si>
  <si>
    <t>Bottom rupture?</t>
  </si>
  <si>
    <t>Side wall tear?</t>
  </si>
  <si>
    <t>Side wall spotting?</t>
  </si>
  <si>
    <t>Side wall buckling?</t>
  </si>
  <si>
    <t>Disintegration?</t>
  </si>
  <si>
    <t>Jelly Roll Ejected?</t>
  </si>
  <si>
    <t>Cap detached?</t>
  </si>
  <si>
    <t>Calculated capacity, 100%SOC (Ah)</t>
  </si>
  <si>
    <t>Cp (J/kg/K)</t>
  </si>
  <si>
    <t>-</t>
  </si>
  <si>
    <t>Self Ignition?</t>
  </si>
  <si>
    <t>Spark Ign Successful?</t>
  </si>
  <si>
    <t>Force Ignition attempt?</t>
  </si>
  <si>
    <r>
      <t xml:space="preserve">Cell Mass before test (g) </t>
    </r>
    <r>
      <rPr>
        <b/>
        <sz val="11"/>
        <color rgb="FFFF0000"/>
        <rFont val="Calibri"/>
        <family val="2"/>
        <scheme val="minor"/>
      </rPr>
      <t>2</t>
    </r>
  </si>
  <si>
    <r>
      <t xml:space="preserve">Cell Mass before test (g) </t>
    </r>
    <r>
      <rPr>
        <b/>
        <sz val="11"/>
        <color rgb="FFFF0000"/>
        <rFont val="Calibri"/>
        <family val="2"/>
        <scheme val="minor"/>
      </rPr>
      <t>1</t>
    </r>
  </si>
  <si>
    <r>
      <t xml:space="preserve">Cell Mass before test (g) </t>
    </r>
    <r>
      <rPr>
        <b/>
        <sz val="11"/>
        <color rgb="FFFF0000"/>
        <rFont val="Calibri"/>
        <family val="2"/>
        <scheme val="minor"/>
      </rPr>
      <t>3</t>
    </r>
  </si>
  <si>
    <r>
      <t xml:space="preserve">Cell+heater Mass before test (g) </t>
    </r>
    <r>
      <rPr>
        <b/>
        <sz val="11"/>
        <color rgb="FFFF0000"/>
        <rFont val="Calibri"/>
        <family val="2"/>
        <scheme val="minor"/>
      </rPr>
      <t>1</t>
    </r>
  </si>
  <si>
    <r>
      <t xml:space="preserve">Cell+heater Mass before test (g) </t>
    </r>
    <r>
      <rPr>
        <b/>
        <sz val="11"/>
        <color rgb="FFFF0000"/>
        <rFont val="Calibri"/>
        <family val="2"/>
        <scheme val="minor"/>
      </rPr>
      <t>2</t>
    </r>
  </si>
  <si>
    <r>
      <t xml:space="preserve">Cell+heater Mass before test (g) </t>
    </r>
    <r>
      <rPr>
        <b/>
        <sz val="11"/>
        <color rgb="FFFF0000"/>
        <rFont val="Calibri"/>
        <family val="2"/>
        <scheme val="minor"/>
      </rPr>
      <t>3</t>
    </r>
  </si>
  <si>
    <r>
      <t xml:space="preserve">Cell+heater Mass after test (g) </t>
    </r>
    <r>
      <rPr>
        <b/>
        <sz val="11"/>
        <color rgb="FFFF0000"/>
        <rFont val="Calibri"/>
        <family val="2"/>
        <scheme val="minor"/>
      </rPr>
      <t>1</t>
    </r>
  </si>
  <si>
    <r>
      <t xml:space="preserve">Cell+heater Mass after test (g) </t>
    </r>
    <r>
      <rPr>
        <b/>
        <sz val="11"/>
        <color rgb="FFFF0000"/>
        <rFont val="Calibri"/>
        <family val="2"/>
        <scheme val="minor"/>
      </rPr>
      <t>2</t>
    </r>
  </si>
  <si>
    <r>
      <t xml:space="preserve">Cell+heater Mass after test (g) </t>
    </r>
    <r>
      <rPr>
        <b/>
        <sz val="11"/>
        <color rgb="FFFF0000"/>
        <rFont val="Calibri"/>
        <family val="2"/>
        <scheme val="minor"/>
      </rPr>
      <t>3</t>
    </r>
  </si>
  <si>
    <t>Cell Number</t>
  </si>
  <si>
    <t>Capacity (Ah)</t>
  </si>
  <si>
    <t>Cycling date</t>
  </si>
  <si>
    <t>Average Temperature (degC)</t>
  </si>
  <si>
    <t>Cell 1</t>
  </si>
  <si>
    <t>Cell 2</t>
  </si>
  <si>
    <t>Cell 3</t>
  </si>
  <si>
    <t>Cell 4</t>
  </si>
  <si>
    <t>Cell 5</t>
  </si>
  <si>
    <t>Cell 6</t>
  </si>
  <si>
    <t>Cell 7</t>
  </si>
  <si>
    <t>Cell 8</t>
  </si>
  <si>
    <t>RSproLiFePO4-18650-1600mAh</t>
  </si>
  <si>
    <t>Y</t>
  </si>
  <si>
    <t>Organisation</t>
  </si>
  <si>
    <t>KCL</t>
  </si>
  <si>
    <t>N/A</t>
  </si>
  <si>
    <t>Yes</t>
  </si>
  <si>
    <t>RSproLiFePO4-26650-3300mAh</t>
  </si>
  <si>
    <t>Cell 1 2665</t>
  </si>
  <si>
    <t>Cell 2 2665</t>
  </si>
  <si>
    <t>Cell 3 2665</t>
  </si>
  <si>
    <t>Cell 4 2665</t>
  </si>
  <si>
    <t>Cell 9</t>
  </si>
  <si>
    <t>Cell 10</t>
  </si>
  <si>
    <t>Cell 11</t>
  </si>
  <si>
    <t>Cell 12</t>
  </si>
  <si>
    <t>Cell 13</t>
  </si>
  <si>
    <t>Cell 14</t>
  </si>
  <si>
    <t>Cell 15</t>
  </si>
  <si>
    <t>Cell 16</t>
  </si>
  <si>
    <t>Cell 17</t>
  </si>
  <si>
    <t>Cell 18</t>
  </si>
  <si>
    <t>Cell 19</t>
  </si>
  <si>
    <t>Cell 20</t>
  </si>
  <si>
    <t>Cell 21</t>
  </si>
  <si>
    <t>Cell 22</t>
  </si>
  <si>
    <t>Cell 23</t>
  </si>
  <si>
    <t>Cell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</si>
</sst>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000"/>
    <numFmt numFmtId="166" formatCode="0.0"/>
    <numFmt numFmtId="168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theme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 vertical="center" wrapText="1"/>
    </xf>
    <xf numFmtId="164" fontId="0" fillId="0" borderId="0" xfId="0" applyNumberFormat="1"/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  <xf numFmtId="2" fontId="1" fillId="0" borderId="0" xfId="0" applyNumberFormat="1" applyFont="1" applyAlignment="1">
      <alignment horizontal="left" vertical="center" wrapText="1"/>
    </xf>
    <xf numFmtId="2" fontId="0" fillId="0" borderId="0" xfId="0" applyNumberFormat="1"/>
    <xf numFmtId="165" fontId="0" fillId="0" borderId="0" xfId="0" applyNumberFormat="1"/>
    <xf numFmtId="165" fontId="1" fillId="0" borderId="0" xfId="0" applyNumberFormat="1" applyFont="1" applyAlignment="1">
      <alignment horizontal="left" vertical="center" wrapText="1"/>
    </xf>
    <xf numFmtId="166" fontId="1" fillId="0" borderId="0" xfId="0" applyNumberFormat="1" applyFont="1" applyAlignment="1">
      <alignment horizontal="left" vertical="center" wrapText="1"/>
    </xf>
    <xf numFmtId="166" fontId="0" fillId="0" borderId="0" xfId="0" applyNumberFormat="1"/>
    <xf numFmtId="2" fontId="1" fillId="2" borderId="1" xfId="0" applyNumberFormat="1" applyFont="1" applyFill="1" applyBorder="1" applyAlignment="1">
      <alignment horizontal="left" vertical="center" wrapText="1"/>
    </xf>
    <xf numFmtId="0" fontId="0" fillId="2" borderId="1" xfId="0" applyFill="1" applyBorder="1"/>
    <xf numFmtId="2" fontId="1" fillId="2" borderId="2" xfId="0" applyNumberFormat="1" applyFont="1" applyFill="1" applyBorder="1" applyAlignment="1">
      <alignment horizontal="left" vertical="center" wrapText="1"/>
    </xf>
    <xf numFmtId="0" fontId="0" fillId="2" borderId="2" xfId="0" applyFill="1" applyBorder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/>
    <xf numFmtId="2" fontId="3" fillId="0" borderId="0" xfId="0" applyNumberFormat="1" applyFont="1" applyAlignment="1">
      <alignment horizontal="left" vertical="center" wrapText="1"/>
    </xf>
    <xf numFmtId="2" fontId="4" fillId="0" borderId="0" xfId="0" applyNumberFormat="1" applyFont="1"/>
    <xf numFmtId="2" fontId="3" fillId="2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/>
    <xf numFmtId="14" fontId="0" fillId="0" borderId="0" xfId="0" applyNumberFormat="1"/>
    <xf numFmtId="165" fontId="3" fillId="0" borderId="0" xfId="0" applyNumberFormat="1" applyFont="1" applyAlignment="1">
      <alignment horizontal="left" vertical="center" wrapText="1"/>
    </xf>
    <xf numFmtId="165" fontId="4" fillId="0" borderId="0" xfId="0" applyNumberFormat="1" applyFont="1"/>
    <xf numFmtId="0" fontId="0" fillId="0" borderId="3" xfId="0" applyBorder="1"/>
    <xf numFmtId="2" fontId="1" fillId="2" borderId="5" xfId="0" applyNumberFormat="1" applyFont="1" applyFill="1" applyBorder="1" applyAlignment="1">
      <alignment horizontal="left" vertical="center" wrapText="1"/>
    </xf>
    <xf numFmtId="0" fontId="0" fillId="2" borderId="5" xfId="0" applyFill="1" applyBorder="1"/>
    <xf numFmtId="2" fontId="1" fillId="2" borderId="4" xfId="0" applyNumberFormat="1" applyFont="1" applyFill="1" applyBorder="1" applyAlignment="1">
      <alignment horizontal="left" vertical="center" wrapText="1"/>
    </xf>
    <xf numFmtId="0" fontId="0" fillId="2" borderId="4" xfId="0" applyFill="1" applyBorder="1"/>
    <xf numFmtId="168" fontId="0" fillId="0" borderId="0" xfId="0" applyNumberFormat="1"/>
    <xf numFmtId="168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"/>
  <sheetViews>
    <sheetView tabSelected="1" workbookViewId="0">
      <selection activeCell="M12" sqref="M12"/>
    </sheetView>
  </sheetViews>
  <sheetFormatPr defaultRowHeight="14.5" x14ac:dyDescent="0.35"/>
  <cols>
    <col min="1" max="1" width="59.81640625" style="18" bestFit="1" customWidth="1"/>
    <col min="2" max="2" width="10.453125" style="2" bestFit="1" customWidth="1"/>
    <col min="3" max="3" width="9.54296875" style="7" customWidth="1"/>
    <col min="4" max="4" width="9.54296875" style="25" customWidth="1"/>
    <col min="5" max="5" width="10.7265625" style="18" bestFit="1" customWidth="1"/>
    <col min="6" max="6" width="10.7265625" style="18" customWidth="1"/>
    <col min="7" max="7" width="28.453125" bestFit="1" customWidth="1"/>
    <col min="8" max="8" width="6.1796875" bestFit="1" customWidth="1"/>
    <col min="9" max="9" width="17.1796875" style="2" customWidth="1"/>
    <col min="10" max="10" width="13.54296875" style="2" customWidth="1"/>
    <col min="11" max="11" width="10.26953125" bestFit="1" customWidth="1"/>
    <col min="12" max="12" width="10.453125" bestFit="1" customWidth="1"/>
    <col min="13" max="13" width="10.1796875" customWidth="1"/>
    <col min="14" max="15" width="9.1796875" style="10"/>
    <col min="17" max="17" width="14.7265625" style="20" customWidth="1"/>
    <col min="18" max="18" width="7.54296875" style="6" bestFit="1" customWidth="1"/>
    <col min="19" max="19" width="9.1796875" style="6"/>
    <col min="20" max="20" width="8.7265625" style="6"/>
    <col min="21" max="21" width="9.1796875" style="20"/>
    <col min="22" max="22" width="13" style="20" customWidth="1"/>
  </cols>
  <sheetData>
    <row r="1" spans="1:23" s="1" customFormat="1" ht="45" customHeight="1" x14ac:dyDescent="0.35">
      <c r="A1" s="17" t="s">
        <v>13</v>
      </c>
      <c r="B1" s="4" t="s">
        <v>0</v>
      </c>
      <c r="C1" s="8" t="s">
        <v>11</v>
      </c>
      <c r="D1" s="24" t="s">
        <v>54</v>
      </c>
      <c r="E1" s="17" t="s">
        <v>12</v>
      </c>
      <c r="F1" s="17" t="s">
        <v>68</v>
      </c>
      <c r="G1" s="3" t="s">
        <v>1</v>
      </c>
      <c r="H1" s="3" t="s">
        <v>27</v>
      </c>
      <c r="I1" s="4" t="s">
        <v>9</v>
      </c>
      <c r="J1" s="4" t="s">
        <v>10</v>
      </c>
      <c r="K1" s="3" t="s">
        <v>2</v>
      </c>
      <c r="L1" s="3" t="s">
        <v>3</v>
      </c>
      <c r="M1" s="3" t="s">
        <v>4</v>
      </c>
      <c r="N1" s="9" t="s">
        <v>5</v>
      </c>
      <c r="O1" s="9" t="s">
        <v>6</v>
      </c>
      <c r="P1" s="3" t="s">
        <v>7</v>
      </c>
      <c r="Q1" s="19" t="s">
        <v>39</v>
      </c>
      <c r="R1" s="5" t="s">
        <v>30</v>
      </c>
      <c r="S1" s="5" t="s">
        <v>8</v>
      </c>
      <c r="T1" s="5" t="s">
        <v>40</v>
      </c>
      <c r="U1" s="19" t="s">
        <v>14</v>
      </c>
      <c r="V1" s="19" t="s">
        <v>17</v>
      </c>
      <c r="W1" s="3" t="s">
        <v>44</v>
      </c>
    </row>
    <row r="2" spans="1:23" x14ac:dyDescent="0.35">
      <c r="A2" s="18" t="str">
        <f>IF(ISBLANK(B2),"Waiting for input",IF(ISERROR(U2),"Check mass input",IF(ISERROR(V2),"Check mass input",IF(COUNTBLANK(B2:W2)=0,CONCATENATE(TEXT(B2,"yyyy-mm-dd"),"_",TEXT(C2,"000"),"_",G2,"_SOC",P2,"_Pwr",S2),"Check input"))))</f>
        <v>2024-10-29_001_RSproLiFePO4-18650-1600mAh_SOC100_Pwr40</v>
      </c>
      <c r="B2" s="2">
        <v>45594</v>
      </c>
      <c r="C2" s="7">
        <v>1</v>
      </c>
      <c r="D2" s="25" t="str">
        <f>'Cycling data'!D2</f>
        <v>Cell 1</v>
      </c>
      <c r="E2" s="18" t="str">
        <f>CONCATENATE(TEXT(B2,"yymmdd"),"-",TEXT(C2,"000"))</f>
        <v>241029-001</v>
      </c>
      <c r="F2" s="18" t="s">
        <v>69</v>
      </c>
      <c r="G2" t="s">
        <v>66</v>
      </c>
      <c r="H2" t="s">
        <v>28</v>
      </c>
      <c r="I2" s="2">
        <v>44761</v>
      </c>
      <c r="J2" s="2" t="s">
        <v>29</v>
      </c>
      <c r="K2" s="2" t="s">
        <v>18</v>
      </c>
      <c r="L2">
        <v>18650</v>
      </c>
      <c r="M2" s="2" t="s">
        <v>19</v>
      </c>
      <c r="N2" s="10">
        <v>3.2</v>
      </c>
      <c r="O2" s="10">
        <v>1.6</v>
      </c>
      <c r="P2">
        <v>100</v>
      </c>
      <c r="Q2" s="20">
        <f>'Cycling data'!E2</f>
        <v>1.581</v>
      </c>
      <c r="R2" s="6" t="s">
        <v>31</v>
      </c>
      <c r="S2" s="6">
        <v>40</v>
      </c>
      <c r="T2" s="6" t="s">
        <v>41</v>
      </c>
      <c r="U2" s="20">
        <f>Mass!L2</f>
        <v>40.30466666666667</v>
      </c>
      <c r="V2" s="20">
        <f>Mass!M2</f>
        <v>49.447000000000003</v>
      </c>
      <c r="W2" t="s">
        <v>31</v>
      </c>
    </row>
    <row r="3" spans="1:23" x14ac:dyDescent="0.35">
      <c r="A3" s="18" t="str">
        <f t="shared" ref="A3:A29" si="0">IF(ISBLANK(B3),"Waiting for input",IF(ISERROR(U3),"Check mass input",IF(ISERROR(V3),"Check mass input",IF(COUNTBLANK(B3:W3)=0,CONCATENATE(TEXT(B3,"yyyy-mm-dd"),"_",TEXT(C3,"000"),"_",G3,"_SOC",P3,"_Pwr",S3),"Check input"))))</f>
        <v>2024-10-30_001_RSproLiFePO4-18650-1600mAh_SOC100_Pwr40</v>
      </c>
      <c r="B3" s="2">
        <v>45595</v>
      </c>
      <c r="C3" s="7">
        <v>1</v>
      </c>
      <c r="D3" s="25" t="str">
        <f>'Cycling data'!D3</f>
        <v>Cell 2</v>
      </c>
      <c r="E3" s="18" t="str">
        <f t="shared" ref="E3:E29" si="1">CONCATENATE(TEXT(B3,"yymmdd"),"-",TEXT(C3,"000"))</f>
        <v>241030-001</v>
      </c>
      <c r="F3" s="18" t="s">
        <v>69</v>
      </c>
      <c r="G3" t="s">
        <v>66</v>
      </c>
      <c r="H3" t="s">
        <v>28</v>
      </c>
      <c r="I3" s="2">
        <v>44761</v>
      </c>
      <c r="J3" s="2" t="s">
        <v>29</v>
      </c>
      <c r="K3" s="2" t="s">
        <v>18</v>
      </c>
      <c r="L3">
        <v>18650</v>
      </c>
      <c r="M3" s="2" t="s">
        <v>19</v>
      </c>
      <c r="N3" s="10">
        <v>3.2</v>
      </c>
      <c r="O3" s="10">
        <v>1.6</v>
      </c>
      <c r="P3">
        <v>100</v>
      </c>
      <c r="Q3" s="20">
        <f>'Cycling data'!E3</f>
        <v>1.6120000000000001</v>
      </c>
      <c r="R3" s="6" t="s">
        <v>31</v>
      </c>
      <c r="S3" s="6">
        <v>40</v>
      </c>
      <c r="T3" s="6" t="s">
        <v>41</v>
      </c>
      <c r="U3" s="20">
        <f>Mass!L3</f>
        <v>39.847999999999992</v>
      </c>
      <c r="V3" s="20">
        <f>Mass!M3</f>
        <v>48.733666666666664</v>
      </c>
      <c r="W3" t="s">
        <v>67</v>
      </c>
    </row>
    <row r="4" spans="1:23" x14ac:dyDescent="0.35">
      <c r="A4" s="18" t="str">
        <f t="shared" si="0"/>
        <v>2024-10-30_002_RSproLiFePO4-18650-1600mAh_SOC100_Pwr40</v>
      </c>
      <c r="B4" s="2">
        <v>45595</v>
      </c>
      <c r="C4" s="7">
        <v>2</v>
      </c>
      <c r="D4" s="25" t="str">
        <f>'Cycling data'!D4</f>
        <v>Cell 3</v>
      </c>
      <c r="E4" s="18" t="str">
        <f t="shared" si="1"/>
        <v>241030-002</v>
      </c>
      <c r="F4" s="18" t="s">
        <v>69</v>
      </c>
      <c r="G4" t="s">
        <v>66</v>
      </c>
      <c r="H4" t="s">
        <v>28</v>
      </c>
      <c r="I4" s="2">
        <v>44761</v>
      </c>
      <c r="J4" s="2" t="s">
        <v>29</v>
      </c>
      <c r="K4" s="2" t="s">
        <v>18</v>
      </c>
      <c r="L4">
        <v>18650</v>
      </c>
      <c r="M4" s="2" t="s">
        <v>19</v>
      </c>
      <c r="N4" s="10">
        <v>3.2</v>
      </c>
      <c r="O4" s="10">
        <v>1.6</v>
      </c>
      <c r="P4">
        <v>100</v>
      </c>
      <c r="Q4" s="20">
        <f>'Cycling data'!E4</f>
        <v>1.5780000000000001</v>
      </c>
      <c r="R4" s="6" t="s">
        <v>31</v>
      </c>
      <c r="S4" s="6">
        <v>40</v>
      </c>
      <c r="T4" s="6" t="s">
        <v>41</v>
      </c>
      <c r="U4" s="20">
        <f>Mass!L4</f>
        <v>39.876333333333328</v>
      </c>
      <c r="V4" s="20">
        <f>Mass!M4</f>
        <v>48.681666666666665</v>
      </c>
      <c r="W4" t="s">
        <v>67</v>
      </c>
    </row>
    <row r="5" spans="1:23" x14ac:dyDescent="0.35">
      <c r="A5" s="18" t="str">
        <f t="shared" si="0"/>
        <v>2024-10-30_003_RSproLiFePO4-18650-1600mAh_SOC100_Pwr40</v>
      </c>
      <c r="B5" s="2">
        <v>45595</v>
      </c>
      <c r="C5" s="7">
        <v>3</v>
      </c>
      <c r="D5" s="25" t="str">
        <f>'Cycling data'!D5</f>
        <v>Cell 4</v>
      </c>
      <c r="E5" s="18" t="str">
        <f t="shared" si="1"/>
        <v>241030-003</v>
      </c>
      <c r="F5" s="18" t="s">
        <v>69</v>
      </c>
      <c r="G5" t="s">
        <v>66</v>
      </c>
      <c r="H5" t="s">
        <v>28</v>
      </c>
      <c r="I5" s="2">
        <v>44761</v>
      </c>
      <c r="J5" s="2" t="s">
        <v>29</v>
      </c>
      <c r="K5" s="2" t="s">
        <v>18</v>
      </c>
      <c r="L5">
        <v>18650</v>
      </c>
      <c r="M5" s="2" t="s">
        <v>19</v>
      </c>
      <c r="N5" s="10">
        <v>3.2</v>
      </c>
      <c r="O5" s="10">
        <v>1.6</v>
      </c>
      <c r="P5">
        <v>100</v>
      </c>
      <c r="Q5" s="20">
        <f>'Cycling data'!E5</f>
        <v>1.585</v>
      </c>
      <c r="R5" s="6" t="s">
        <v>31</v>
      </c>
      <c r="S5" s="6">
        <v>40</v>
      </c>
      <c r="T5" s="6" t="s">
        <v>41</v>
      </c>
      <c r="U5" s="20">
        <f>Mass!L5</f>
        <v>39.988999999999997</v>
      </c>
      <c r="V5" s="20">
        <f>Mass!M5</f>
        <v>49.158333333333339</v>
      </c>
      <c r="W5" t="s">
        <v>67</v>
      </c>
    </row>
    <row r="6" spans="1:23" x14ac:dyDescent="0.35">
      <c r="A6" s="18" t="str">
        <f t="shared" si="0"/>
        <v>2024-10-30_004_RSproLiFePO4-18650-1600mAh_SOC100_Pwr40</v>
      </c>
      <c r="B6" s="2">
        <v>45595</v>
      </c>
      <c r="C6" s="7">
        <v>4</v>
      </c>
      <c r="D6" s="25" t="str">
        <f>'Cycling data'!D6</f>
        <v>Cell 5</v>
      </c>
      <c r="E6" s="18" t="str">
        <f t="shared" si="1"/>
        <v>241030-004</v>
      </c>
      <c r="F6" s="18" t="s">
        <v>69</v>
      </c>
      <c r="G6" t="s">
        <v>66</v>
      </c>
      <c r="H6" t="s">
        <v>28</v>
      </c>
      <c r="I6" s="2">
        <v>44761</v>
      </c>
      <c r="J6" s="2" t="s">
        <v>29</v>
      </c>
      <c r="K6" s="2" t="s">
        <v>18</v>
      </c>
      <c r="L6">
        <v>18650</v>
      </c>
      <c r="M6" s="2" t="s">
        <v>19</v>
      </c>
      <c r="N6" s="10">
        <v>3.2</v>
      </c>
      <c r="O6" s="10">
        <v>1.6</v>
      </c>
      <c r="P6">
        <v>100</v>
      </c>
      <c r="Q6" s="20">
        <f>'Cycling data'!E6</f>
        <v>1.639</v>
      </c>
      <c r="R6" s="6" t="s">
        <v>31</v>
      </c>
      <c r="S6" s="6">
        <v>40</v>
      </c>
      <c r="T6" s="6" t="s">
        <v>41</v>
      </c>
      <c r="U6" s="20">
        <f>Mass!L6</f>
        <v>39.904333333333334</v>
      </c>
      <c r="V6" s="20">
        <f>Mass!M6</f>
        <v>49.038666666666664</v>
      </c>
      <c r="W6" t="s">
        <v>31</v>
      </c>
    </row>
    <row r="7" spans="1:23" x14ac:dyDescent="0.35">
      <c r="A7" s="18" t="str">
        <f t="shared" si="0"/>
        <v>2024-10-30_005_RSproLiFePO4-18650-1600mAh_SOC100_Pwr40</v>
      </c>
      <c r="B7" s="2">
        <v>45595</v>
      </c>
      <c r="C7" s="7">
        <v>5</v>
      </c>
      <c r="D7" s="25" t="str">
        <f>'Cycling data'!D7</f>
        <v>Cell 6</v>
      </c>
      <c r="E7" s="18" t="str">
        <f t="shared" si="1"/>
        <v>241030-005</v>
      </c>
      <c r="F7" s="18" t="s">
        <v>69</v>
      </c>
      <c r="G7" t="s">
        <v>66</v>
      </c>
      <c r="H7" t="s">
        <v>28</v>
      </c>
      <c r="I7" s="2">
        <v>44761</v>
      </c>
      <c r="J7" s="2" t="s">
        <v>29</v>
      </c>
      <c r="K7" s="2" t="s">
        <v>18</v>
      </c>
      <c r="L7">
        <v>18650</v>
      </c>
      <c r="M7" s="2" t="s">
        <v>19</v>
      </c>
      <c r="N7" s="10">
        <v>3.2</v>
      </c>
      <c r="O7" s="10">
        <v>1.6</v>
      </c>
      <c r="P7">
        <v>100</v>
      </c>
      <c r="Q7" s="20">
        <f>'Cycling data'!E7</f>
        <v>1.6060000000000001</v>
      </c>
      <c r="R7" s="6" t="s">
        <v>31</v>
      </c>
      <c r="S7" s="6">
        <v>40</v>
      </c>
      <c r="T7" s="6" t="s">
        <v>41</v>
      </c>
      <c r="U7" s="20">
        <f>Mass!L7</f>
        <v>40.038666666666664</v>
      </c>
      <c r="V7" s="20">
        <f>Mass!M7</f>
        <v>49.234666666666669</v>
      </c>
      <c r="W7" t="s">
        <v>31</v>
      </c>
    </row>
    <row r="8" spans="1:23" x14ac:dyDescent="0.35">
      <c r="A8" s="18" t="str">
        <f t="shared" si="0"/>
        <v>2025-01-29_001_RSproLiFePO4-18650-1600mAh_SOC100_Pwr40</v>
      </c>
      <c r="B8" s="2">
        <v>45686</v>
      </c>
      <c r="C8" s="7">
        <v>1</v>
      </c>
      <c r="D8" s="25" t="str">
        <f>'Cycling data'!D8</f>
        <v>Cell 7</v>
      </c>
      <c r="E8" s="18" t="str">
        <f t="shared" si="1"/>
        <v>250129-001</v>
      </c>
      <c r="F8" s="18" t="s">
        <v>69</v>
      </c>
      <c r="G8" t="s">
        <v>66</v>
      </c>
      <c r="H8" t="s">
        <v>28</v>
      </c>
      <c r="I8" s="2">
        <v>44761</v>
      </c>
      <c r="J8" s="2" t="s">
        <v>29</v>
      </c>
      <c r="K8" s="2" t="s">
        <v>18</v>
      </c>
      <c r="L8">
        <v>18650</v>
      </c>
      <c r="M8" s="2" t="s">
        <v>19</v>
      </c>
      <c r="N8" s="10">
        <v>3.2</v>
      </c>
      <c r="O8" s="10">
        <v>1.6</v>
      </c>
      <c r="P8">
        <v>100</v>
      </c>
      <c r="Q8" s="20">
        <f>'Cycling data'!E8</f>
        <v>1.58</v>
      </c>
      <c r="R8" s="6" t="s">
        <v>31</v>
      </c>
      <c r="S8" s="6">
        <v>40</v>
      </c>
      <c r="T8" s="6" t="s">
        <v>41</v>
      </c>
      <c r="U8" s="20">
        <f>Mass!L8</f>
        <v>40.131666666666668</v>
      </c>
      <c r="V8" s="20">
        <f>Mass!M8</f>
        <v>48.823333333333331</v>
      </c>
      <c r="W8" t="s">
        <v>67</v>
      </c>
    </row>
    <row r="9" spans="1:23" x14ac:dyDescent="0.35">
      <c r="A9" s="18" t="str">
        <f t="shared" si="0"/>
        <v>2025-01-29_002_RSproLiFePO4-18650-1600mAh_SOC100_Pwr40</v>
      </c>
      <c r="B9" s="2">
        <v>45686</v>
      </c>
      <c r="C9" s="7">
        <v>2</v>
      </c>
      <c r="D9" s="25" t="str">
        <f>'Cycling data'!D9</f>
        <v>Cell 8</v>
      </c>
      <c r="E9" s="18" t="str">
        <f t="shared" si="1"/>
        <v>250129-002</v>
      </c>
      <c r="F9" s="18" t="s">
        <v>69</v>
      </c>
      <c r="G9" t="s">
        <v>66</v>
      </c>
      <c r="H9" t="s">
        <v>28</v>
      </c>
      <c r="I9" s="2">
        <v>44761</v>
      </c>
      <c r="J9" s="2" t="s">
        <v>29</v>
      </c>
      <c r="K9" s="2" t="s">
        <v>18</v>
      </c>
      <c r="L9">
        <v>18650</v>
      </c>
      <c r="M9" s="2" t="s">
        <v>19</v>
      </c>
      <c r="N9" s="10">
        <v>3.2</v>
      </c>
      <c r="O9" s="10">
        <v>1.6</v>
      </c>
      <c r="P9">
        <v>100</v>
      </c>
      <c r="Q9" s="20">
        <f>'Cycling data'!E9</f>
        <v>1.5880000000000001</v>
      </c>
      <c r="R9" s="6" t="s">
        <v>31</v>
      </c>
      <c r="S9" s="6">
        <v>40</v>
      </c>
      <c r="T9" s="6" t="s">
        <v>41</v>
      </c>
      <c r="U9" s="20">
        <f>Mass!L9</f>
        <v>39.68333333333333</v>
      </c>
      <c r="V9" s="20">
        <f>Mass!M9</f>
        <v>48.19766666666667</v>
      </c>
      <c r="W9" t="s">
        <v>67</v>
      </c>
    </row>
    <row r="10" spans="1:23" x14ac:dyDescent="0.35">
      <c r="A10" s="18" t="str">
        <f t="shared" si="0"/>
        <v>2024-11-26_001_RSproLiFePO4-26650-3300mAh_SOC100_Pwr80</v>
      </c>
      <c r="B10" s="2">
        <v>45622</v>
      </c>
      <c r="C10" s="7">
        <v>1</v>
      </c>
      <c r="D10" s="25" t="str">
        <f>'Cycling data'!D10</f>
        <v>Cell 1 2665</v>
      </c>
      <c r="E10" s="18" t="str">
        <f t="shared" si="1"/>
        <v>241126-001</v>
      </c>
      <c r="F10" s="18" t="s">
        <v>69</v>
      </c>
      <c r="G10" t="s">
        <v>72</v>
      </c>
      <c r="H10" t="s">
        <v>28</v>
      </c>
      <c r="I10" s="2">
        <v>44705</v>
      </c>
      <c r="J10" s="2" t="s">
        <v>29</v>
      </c>
      <c r="K10" s="2" t="s">
        <v>18</v>
      </c>
      <c r="L10">
        <v>26650</v>
      </c>
      <c r="M10" s="2" t="s">
        <v>19</v>
      </c>
      <c r="N10" s="10">
        <v>3.2</v>
      </c>
      <c r="O10" s="10">
        <v>3.3</v>
      </c>
      <c r="P10">
        <v>100</v>
      </c>
      <c r="Q10" s="20">
        <f>'Cycling data'!E10</f>
        <v>3.4449999999999998</v>
      </c>
      <c r="R10" s="6" t="s">
        <v>31</v>
      </c>
      <c r="S10" s="6">
        <v>80</v>
      </c>
      <c r="T10" s="6" t="s">
        <v>41</v>
      </c>
      <c r="U10" s="20">
        <f>Mass!L10</f>
        <v>84.09</v>
      </c>
      <c r="V10" s="20">
        <f>Mass!M10</f>
        <v>94.84666666666665</v>
      </c>
      <c r="W10" t="s">
        <v>67</v>
      </c>
    </row>
    <row r="11" spans="1:23" x14ac:dyDescent="0.35">
      <c r="A11" s="18" t="str">
        <f t="shared" si="0"/>
        <v>2024-11-26_002_RSproLiFePO4-26650-3300mAh_SOC100_Pwr80</v>
      </c>
      <c r="B11" s="2">
        <v>45622</v>
      </c>
      <c r="C11" s="7">
        <v>2</v>
      </c>
      <c r="D11" s="25" t="str">
        <f>'Cycling data'!D11</f>
        <v>Cell 2 2665</v>
      </c>
      <c r="E11" s="18" t="str">
        <f t="shared" si="1"/>
        <v>241126-002</v>
      </c>
      <c r="F11" s="18" t="s">
        <v>69</v>
      </c>
      <c r="G11" t="s">
        <v>72</v>
      </c>
      <c r="H11" t="s">
        <v>28</v>
      </c>
      <c r="I11" s="2">
        <v>44705</v>
      </c>
      <c r="J11" s="2" t="s">
        <v>29</v>
      </c>
      <c r="K11" s="2" t="s">
        <v>18</v>
      </c>
      <c r="L11">
        <v>26650</v>
      </c>
      <c r="M11" s="2" t="s">
        <v>19</v>
      </c>
      <c r="N11" s="10">
        <v>3.2</v>
      </c>
      <c r="O11" s="10">
        <v>3.3</v>
      </c>
      <c r="P11">
        <v>100</v>
      </c>
      <c r="Q11" s="20">
        <f>'Cycling data'!E11</f>
        <v>3.4359999999999999</v>
      </c>
      <c r="R11" s="6" t="s">
        <v>31</v>
      </c>
      <c r="S11" s="6">
        <v>80</v>
      </c>
      <c r="T11" s="6" t="s">
        <v>41</v>
      </c>
      <c r="U11" s="20">
        <f>Mass!L11</f>
        <v>83.863333333333344</v>
      </c>
      <c r="V11" s="20">
        <f>Mass!M11</f>
        <v>94.339999999999989</v>
      </c>
      <c r="W11" t="s">
        <v>67</v>
      </c>
    </row>
    <row r="12" spans="1:23" x14ac:dyDescent="0.35">
      <c r="A12" s="18" t="str">
        <f t="shared" si="0"/>
        <v>2024-11-27_001_RSproLiFePO4-26650-3300mAh_SOC100_Pwr80</v>
      </c>
      <c r="B12" s="2">
        <v>45623</v>
      </c>
      <c r="C12" s="7">
        <v>1</v>
      </c>
      <c r="D12" s="25" t="str">
        <f>'Cycling data'!D12</f>
        <v>Cell 3 2665</v>
      </c>
      <c r="E12" s="18" t="str">
        <f t="shared" si="1"/>
        <v>241127-001</v>
      </c>
      <c r="F12" s="18" t="s">
        <v>69</v>
      </c>
      <c r="G12" t="s">
        <v>72</v>
      </c>
      <c r="H12" t="s">
        <v>28</v>
      </c>
      <c r="I12" s="2">
        <v>44705</v>
      </c>
      <c r="J12" s="2" t="s">
        <v>29</v>
      </c>
      <c r="K12" s="2" t="s">
        <v>18</v>
      </c>
      <c r="L12">
        <v>26650</v>
      </c>
      <c r="M12" s="2" t="s">
        <v>19</v>
      </c>
      <c r="N12" s="10">
        <v>3.2</v>
      </c>
      <c r="O12" s="10">
        <v>3.3</v>
      </c>
      <c r="P12">
        <v>100</v>
      </c>
      <c r="Q12" s="20">
        <f>'Cycling data'!E12</f>
        <v>3.2490000000000001</v>
      </c>
      <c r="R12" s="6" t="s">
        <v>31</v>
      </c>
      <c r="S12" s="6">
        <v>80</v>
      </c>
      <c r="T12" s="6" t="s">
        <v>41</v>
      </c>
      <c r="U12" s="20">
        <f>Mass!L12</f>
        <v>84.433333333333337</v>
      </c>
      <c r="V12" s="20">
        <f>Mass!M12</f>
        <v>93.77</v>
      </c>
      <c r="W12" t="s">
        <v>67</v>
      </c>
    </row>
    <row r="13" spans="1:23" x14ac:dyDescent="0.35">
      <c r="A13" s="18" t="str">
        <f t="shared" si="0"/>
        <v>2024-11-27_002_RSproLiFePO4-26650-3300mAh_SOC100_Pwr80</v>
      </c>
      <c r="B13" s="2">
        <v>45623</v>
      </c>
      <c r="C13" s="7">
        <v>2</v>
      </c>
      <c r="D13" s="25" t="str">
        <f>'Cycling data'!D13</f>
        <v>Cell 4 2665</v>
      </c>
      <c r="E13" s="18" t="str">
        <f t="shared" si="1"/>
        <v>241127-002</v>
      </c>
      <c r="F13" s="18" t="s">
        <v>69</v>
      </c>
      <c r="G13" t="s">
        <v>72</v>
      </c>
      <c r="H13" t="s">
        <v>28</v>
      </c>
      <c r="I13" s="2">
        <v>44705</v>
      </c>
      <c r="J13" s="2" t="s">
        <v>29</v>
      </c>
      <c r="K13" s="2" t="s">
        <v>18</v>
      </c>
      <c r="L13">
        <v>26650</v>
      </c>
      <c r="M13" s="2" t="s">
        <v>19</v>
      </c>
      <c r="N13" s="10">
        <v>3.2</v>
      </c>
      <c r="O13" s="10">
        <v>3.3</v>
      </c>
      <c r="P13">
        <v>100</v>
      </c>
      <c r="Q13" s="20">
        <f>'Cycling data'!E13</f>
        <v>3.222</v>
      </c>
      <c r="R13" s="6" t="s">
        <v>31</v>
      </c>
      <c r="S13" s="6">
        <v>80</v>
      </c>
      <c r="T13" s="6" t="s">
        <v>41</v>
      </c>
      <c r="U13" s="20">
        <f>Mass!L13</f>
        <v>83.93</v>
      </c>
      <c r="V13" s="20">
        <f>Mass!M13</f>
        <v>93.98</v>
      </c>
      <c r="W13" t="s">
        <v>67</v>
      </c>
    </row>
    <row r="14" spans="1:23" x14ac:dyDescent="0.35">
      <c r="A14" s="18" t="str">
        <f t="shared" si="0"/>
        <v>2025-01-29_003_RSproLiFePO4-18650-1600mAh_SOC100_Pwr40</v>
      </c>
      <c r="B14" s="2">
        <v>45686</v>
      </c>
      <c r="C14" s="7">
        <v>3</v>
      </c>
      <c r="D14" s="25" t="str">
        <f>'Cycling data'!D14</f>
        <v>Cell 9</v>
      </c>
      <c r="E14" s="18" t="str">
        <f t="shared" si="1"/>
        <v>250129-003</v>
      </c>
      <c r="F14" s="18" t="s">
        <v>69</v>
      </c>
      <c r="G14" t="s">
        <v>66</v>
      </c>
      <c r="H14" t="s">
        <v>28</v>
      </c>
      <c r="I14" s="2">
        <v>44761</v>
      </c>
      <c r="J14" s="2" t="s">
        <v>29</v>
      </c>
      <c r="K14" s="2" t="s">
        <v>18</v>
      </c>
      <c r="L14">
        <v>18650</v>
      </c>
      <c r="M14" s="2" t="s">
        <v>19</v>
      </c>
      <c r="N14" s="10">
        <v>3.2</v>
      </c>
      <c r="O14" s="10">
        <v>1.6</v>
      </c>
      <c r="P14">
        <v>100</v>
      </c>
      <c r="Q14" s="20">
        <f>'Cycling data'!E14</f>
        <v>1.49</v>
      </c>
      <c r="R14" s="6" t="s">
        <v>31</v>
      </c>
      <c r="S14" s="6">
        <v>40</v>
      </c>
      <c r="T14" s="6" t="s">
        <v>41</v>
      </c>
      <c r="U14" s="20">
        <f>Mass!L14</f>
        <v>40.18566666666667</v>
      </c>
      <c r="V14" s="20">
        <f>Mass!M14</f>
        <v>49.129333333333335</v>
      </c>
      <c r="W14" t="s">
        <v>67</v>
      </c>
    </row>
    <row r="15" spans="1:23" x14ac:dyDescent="0.35">
      <c r="A15" s="18" t="str">
        <f t="shared" si="0"/>
        <v>2025-01-29_004_RSproLiFePO4-18650-1600mAh_SOC100_Pwr40</v>
      </c>
      <c r="B15" s="2">
        <v>45686</v>
      </c>
      <c r="C15" s="7">
        <v>4</v>
      </c>
      <c r="D15" s="25" t="str">
        <f>'Cycling data'!D15</f>
        <v>Cell 10</v>
      </c>
      <c r="E15" s="18" t="str">
        <f t="shared" si="1"/>
        <v>250129-004</v>
      </c>
      <c r="F15" s="18" t="s">
        <v>69</v>
      </c>
      <c r="G15" t="s">
        <v>66</v>
      </c>
      <c r="H15" t="s">
        <v>28</v>
      </c>
      <c r="I15" s="2">
        <v>44761</v>
      </c>
      <c r="J15" s="2" t="s">
        <v>29</v>
      </c>
      <c r="K15" s="2" t="s">
        <v>18</v>
      </c>
      <c r="L15">
        <v>18650</v>
      </c>
      <c r="M15" s="2" t="s">
        <v>19</v>
      </c>
      <c r="N15" s="10">
        <v>3.2</v>
      </c>
      <c r="O15" s="10">
        <v>1.6</v>
      </c>
      <c r="P15">
        <v>100</v>
      </c>
      <c r="Q15" s="20">
        <f>'Cycling data'!E15</f>
        <v>1.464</v>
      </c>
      <c r="R15" s="6" t="s">
        <v>31</v>
      </c>
      <c r="S15" s="6">
        <v>40</v>
      </c>
      <c r="T15" s="6" t="s">
        <v>41</v>
      </c>
      <c r="U15" s="20">
        <f>Mass!L15</f>
        <v>40.297333333333334</v>
      </c>
      <c r="V15" s="20">
        <f>Mass!M15</f>
        <v>49.121333333333332</v>
      </c>
      <c r="W15" t="s">
        <v>31</v>
      </c>
    </row>
    <row r="16" spans="1:23" x14ac:dyDescent="0.35">
      <c r="A16" s="18" t="str">
        <f t="shared" si="0"/>
        <v>2025-01-29_005_RSproLiFePO4-18650-1600mAh_SOC100_Pwr40</v>
      </c>
      <c r="B16" s="2">
        <v>45686</v>
      </c>
      <c r="C16" s="7">
        <v>5</v>
      </c>
      <c r="D16" s="25" t="str">
        <f>'Cycling data'!D16</f>
        <v>Cell 11</v>
      </c>
      <c r="E16" s="18" t="str">
        <f t="shared" si="1"/>
        <v>250129-005</v>
      </c>
      <c r="F16" s="18" t="s">
        <v>69</v>
      </c>
      <c r="G16" t="s">
        <v>66</v>
      </c>
      <c r="H16" t="s">
        <v>28</v>
      </c>
      <c r="I16" s="2">
        <v>44761</v>
      </c>
      <c r="J16" s="2" t="s">
        <v>29</v>
      </c>
      <c r="K16" s="2" t="s">
        <v>18</v>
      </c>
      <c r="L16">
        <v>18650</v>
      </c>
      <c r="M16" s="2" t="s">
        <v>19</v>
      </c>
      <c r="N16" s="10">
        <v>3.2</v>
      </c>
      <c r="O16" s="10">
        <v>1.6</v>
      </c>
      <c r="P16">
        <v>100</v>
      </c>
      <c r="Q16" s="20">
        <f>'Cycling data'!E16</f>
        <v>1.601</v>
      </c>
      <c r="R16" s="6" t="s">
        <v>31</v>
      </c>
      <c r="S16" s="6">
        <v>40</v>
      </c>
      <c r="T16" s="6" t="s">
        <v>41</v>
      </c>
      <c r="U16" s="20">
        <f>Mass!L16</f>
        <v>40.288333333333334</v>
      </c>
      <c r="V16" s="20">
        <f>Mass!M16</f>
        <v>49.05533333333333</v>
      </c>
      <c r="W16" t="s">
        <v>31</v>
      </c>
    </row>
    <row r="17" spans="1:23" x14ac:dyDescent="0.35">
      <c r="A17" s="18" t="str">
        <f t="shared" si="0"/>
        <v>2025-01-30_001_RSproLiFePO4-18650-1600mAh_SOC100_Pwr40</v>
      </c>
      <c r="B17" s="2">
        <v>45687</v>
      </c>
      <c r="C17" s="7">
        <v>1</v>
      </c>
      <c r="D17" s="25" t="str">
        <f>'Cycling data'!D17</f>
        <v>Cell 12</v>
      </c>
      <c r="E17" s="18" t="str">
        <f t="shared" si="1"/>
        <v>250130-001</v>
      </c>
      <c r="F17" s="18" t="s">
        <v>69</v>
      </c>
      <c r="G17" t="s">
        <v>66</v>
      </c>
      <c r="H17" t="s">
        <v>28</v>
      </c>
      <c r="I17" s="2">
        <v>44761</v>
      </c>
      <c r="J17" s="2" t="s">
        <v>29</v>
      </c>
      <c r="K17" s="2" t="s">
        <v>18</v>
      </c>
      <c r="L17">
        <v>18650</v>
      </c>
      <c r="M17" s="2" t="s">
        <v>19</v>
      </c>
      <c r="N17" s="10">
        <v>3.2</v>
      </c>
      <c r="O17" s="10">
        <v>1.6</v>
      </c>
      <c r="P17">
        <v>100</v>
      </c>
      <c r="Q17" s="20">
        <f>'Cycling data'!E17</f>
        <v>1.474</v>
      </c>
      <c r="R17" s="6" t="s">
        <v>31</v>
      </c>
      <c r="S17" s="6">
        <v>40</v>
      </c>
      <c r="T17" s="6" t="s">
        <v>41</v>
      </c>
      <c r="U17" s="20">
        <f>Mass!L17</f>
        <v>40.279333333333334</v>
      </c>
      <c r="V17" s="20">
        <f>Mass!M17</f>
        <v>49.305666666666667</v>
      </c>
      <c r="W17" t="s">
        <v>31</v>
      </c>
    </row>
    <row r="18" spans="1:23" x14ac:dyDescent="0.35">
      <c r="A18" s="18" t="str">
        <f t="shared" si="0"/>
        <v>2025-01-30_002_RSproLiFePO4-18650-1600mAh_SOC100_Pwr40</v>
      </c>
      <c r="B18" s="2">
        <v>45687</v>
      </c>
      <c r="C18" s="7">
        <v>2</v>
      </c>
      <c r="D18" s="25" t="str">
        <f>'Cycling data'!D18</f>
        <v>Cell 13</v>
      </c>
      <c r="E18" s="18" t="str">
        <f t="shared" si="1"/>
        <v>250130-002</v>
      </c>
      <c r="F18" s="18" t="s">
        <v>69</v>
      </c>
      <c r="G18" t="s">
        <v>66</v>
      </c>
      <c r="H18" t="s">
        <v>28</v>
      </c>
      <c r="I18" s="2">
        <v>44761</v>
      </c>
      <c r="J18" s="2" t="s">
        <v>29</v>
      </c>
      <c r="K18" s="2" t="s">
        <v>18</v>
      </c>
      <c r="L18">
        <v>18650</v>
      </c>
      <c r="M18" s="2" t="s">
        <v>19</v>
      </c>
      <c r="N18" s="10">
        <v>3.2</v>
      </c>
      <c r="O18" s="10">
        <v>1.6</v>
      </c>
      <c r="P18">
        <v>100</v>
      </c>
      <c r="Q18" s="20">
        <f>'Cycling data'!E18</f>
        <v>1.5369999999999999</v>
      </c>
      <c r="R18" s="6" t="s">
        <v>31</v>
      </c>
      <c r="S18" s="6">
        <v>40</v>
      </c>
      <c r="T18" s="6" t="s">
        <v>41</v>
      </c>
      <c r="U18" s="20">
        <f>Mass!L18</f>
        <v>40.327333333333335</v>
      </c>
      <c r="V18" s="20">
        <f>Mass!M18</f>
        <v>48.968333333333334</v>
      </c>
      <c r="W18" t="s">
        <v>67</v>
      </c>
    </row>
    <row r="19" spans="1:23" x14ac:dyDescent="0.35">
      <c r="A19" s="18" t="str">
        <f t="shared" si="0"/>
        <v>2025-01-30_003_RSproLiFePO4-18650-1600mAh_SOC100_Pwr40</v>
      </c>
      <c r="B19" s="2">
        <v>45687</v>
      </c>
      <c r="C19" s="7">
        <v>3</v>
      </c>
      <c r="D19" s="25" t="str">
        <f>'Cycling data'!D19</f>
        <v>Cell 14</v>
      </c>
      <c r="E19" s="18" t="str">
        <f t="shared" si="1"/>
        <v>250130-003</v>
      </c>
      <c r="F19" s="18" t="s">
        <v>69</v>
      </c>
      <c r="G19" t="s">
        <v>66</v>
      </c>
      <c r="H19" t="s">
        <v>28</v>
      </c>
      <c r="I19" s="2">
        <v>44761</v>
      </c>
      <c r="J19" s="2" t="s">
        <v>29</v>
      </c>
      <c r="K19" s="2" t="s">
        <v>18</v>
      </c>
      <c r="L19">
        <v>18650</v>
      </c>
      <c r="M19" s="2" t="s">
        <v>19</v>
      </c>
      <c r="N19" s="10">
        <v>3.2</v>
      </c>
      <c r="O19" s="10">
        <v>1.6</v>
      </c>
      <c r="P19">
        <v>100</v>
      </c>
      <c r="Q19" s="20">
        <f>'Cycling data'!E19</f>
        <v>1.4670000000000001</v>
      </c>
      <c r="R19" s="6" t="s">
        <v>31</v>
      </c>
      <c r="S19" s="6">
        <v>40</v>
      </c>
      <c r="T19" s="6" t="s">
        <v>41</v>
      </c>
      <c r="U19" s="20">
        <f>Mass!L19</f>
        <v>39.925333333333334</v>
      </c>
      <c r="V19" s="20">
        <f>Mass!M19</f>
        <v>48.775666666666666</v>
      </c>
      <c r="W19" t="s">
        <v>67</v>
      </c>
    </row>
    <row r="20" spans="1:23" x14ac:dyDescent="0.35">
      <c r="A20" s="18" t="str">
        <f t="shared" si="0"/>
        <v>2025-01-30_004_RSproLiFePO4-18650-1600mAh_SOC100_Pwr40</v>
      </c>
      <c r="B20" s="2">
        <v>45687</v>
      </c>
      <c r="C20" s="7">
        <v>4</v>
      </c>
      <c r="D20" s="25" t="str">
        <f>'Cycling data'!D20</f>
        <v>Cell 15</v>
      </c>
      <c r="E20" s="18" t="str">
        <f t="shared" si="1"/>
        <v>250130-004</v>
      </c>
      <c r="F20" s="18" t="s">
        <v>69</v>
      </c>
      <c r="G20" t="s">
        <v>66</v>
      </c>
      <c r="H20" t="s">
        <v>28</v>
      </c>
      <c r="I20" s="2">
        <v>44761</v>
      </c>
      <c r="J20" s="2" t="s">
        <v>29</v>
      </c>
      <c r="K20" s="2" t="s">
        <v>18</v>
      </c>
      <c r="L20">
        <v>18650</v>
      </c>
      <c r="M20" s="2" t="s">
        <v>19</v>
      </c>
      <c r="N20" s="10">
        <v>3.2</v>
      </c>
      <c r="O20" s="10">
        <v>1.6</v>
      </c>
      <c r="P20">
        <v>100</v>
      </c>
      <c r="Q20" s="20">
        <f>'Cycling data'!E20</f>
        <v>1.5649999999999999</v>
      </c>
      <c r="R20" s="6" t="s">
        <v>31</v>
      </c>
      <c r="S20" s="6">
        <v>40</v>
      </c>
      <c r="T20" s="6" t="s">
        <v>41</v>
      </c>
      <c r="U20" s="20">
        <f>Mass!L20</f>
        <v>40.029666666666664</v>
      </c>
      <c r="V20" s="20">
        <f>Mass!M20</f>
        <v>49.43566666666667</v>
      </c>
      <c r="W20" t="s">
        <v>31</v>
      </c>
    </row>
    <row r="21" spans="1:23" x14ac:dyDescent="0.35">
      <c r="A21" s="18" t="str">
        <f t="shared" si="0"/>
        <v>2025-01-30_005_RSproLiFePO4-18650-1600mAh_SOC100_Pwr40</v>
      </c>
      <c r="B21" s="2">
        <v>45687</v>
      </c>
      <c r="C21" s="7">
        <v>5</v>
      </c>
      <c r="D21" s="25" t="str">
        <f>'Cycling data'!D21</f>
        <v>Cell 16</v>
      </c>
      <c r="E21" s="18" t="str">
        <f t="shared" si="1"/>
        <v>250130-005</v>
      </c>
      <c r="F21" s="18" t="s">
        <v>69</v>
      </c>
      <c r="G21" t="s">
        <v>66</v>
      </c>
      <c r="H21" t="s">
        <v>28</v>
      </c>
      <c r="I21" s="2">
        <v>44761</v>
      </c>
      <c r="J21" s="2" t="s">
        <v>29</v>
      </c>
      <c r="K21" s="2" t="s">
        <v>18</v>
      </c>
      <c r="L21">
        <v>18650</v>
      </c>
      <c r="M21" s="2" t="s">
        <v>19</v>
      </c>
      <c r="N21" s="10">
        <v>3.2</v>
      </c>
      <c r="O21" s="10">
        <v>1.6</v>
      </c>
      <c r="P21">
        <v>100</v>
      </c>
      <c r="Q21" s="20">
        <f>'Cycling data'!E21</f>
        <v>1.52</v>
      </c>
      <c r="R21" s="6" t="s">
        <v>31</v>
      </c>
      <c r="S21" s="6">
        <v>40</v>
      </c>
      <c r="T21" s="6" t="s">
        <v>41</v>
      </c>
      <c r="U21" s="20">
        <f>Mass!L21</f>
        <v>39.953333333333333</v>
      </c>
      <c r="V21" s="20">
        <f>Mass!M21</f>
        <v>49.132666666666665</v>
      </c>
      <c r="W21" t="s">
        <v>31</v>
      </c>
    </row>
    <row r="22" spans="1:23" x14ac:dyDescent="0.35">
      <c r="A22" s="18" t="str">
        <f t="shared" si="0"/>
        <v>2025-02-11_001_RSproLiFePO4-18650-1600mAh_SOC100_Pwr40</v>
      </c>
      <c r="B22" s="2">
        <v>45699</v>
      </c>
      <c r="C22" s="7">
        <v>1</v>
      </c>
      <c r="D22" s="25" t="str">
        <f>'Cycling data'!D22</f>
        <v>Cell 17</v>
      </c>
      <c r="E22" s="18" t="str">
        <f t="shared" si="1"/>
        <v>250211-001</v>
      </c>
      <c r="F22" s="18" t="s">
        <v>69</v>
      </c>
      <c r="G22" t="s">
        <v>66</v>
      </c>
      <c r="H22" t="s">
        <v>28</v>
      </c>
      <c r="I22" s="2">
        <v>44761</v>
      </c>
      <c r="J22" s="2" t="s">
        <v>29</v>
      </c>
      <c r="K22" s="2" t="s">
        <v>18</v>
      </c>
      <c r="L22">
        <v>18650</v>
      </c>
      <c r="M22" s="2" t="s">
        <v>19</v>
      </c>
      <c r="N22" s="10">
        <v>3.2</v>
      </c>
      <c r="O22" s="10">
        <v>1.6</v>
      </c>
      <c r="P22">
        <v>100</v>
      </c>
      <c r="Q22" s="20">
        <f>'Cycling data'!E22</f>
        <v>1.536</v>
      </c>
      <c r="R22" s="6" t="s">
        <v>31</v>
      </c>
      <c r="S22" s="6">
        <v>40</v>
      </c>
      <c r="T22" s="6" t="s">
        <v>41</v>
      </c>
      <c r="U22" s="20">
        <f>Mass!L22</f>
        <v>43.603222222222229</v>
      </c>
      <c r="V22" s="20">
        <f>Mass!M22</f>
        <v>49.015000000000008</v>
      </c>
      <c r="W22" t="s">
        <v>67</v>
      </c>
    </row>
    <row r="23" spans="1:23" x14ac:dyDescent="0.35">
      <c r="A23" s="18" t="str">
        <f t="shared" si="0"/>
        <v>2025-02-11_002_RSproLiFePO4-18650-1600mAh_SOC100_Pwr40</v>
      </c>
      <c r="B23" s="2">
        <v>45699</v>
      </c>
      <c r="C23" s="7">
        <v>2</v>
      </c>
      <c r="D23" s="25" t="str">
        <f>'Cycling data'!D23</f>
        <v>Cell 18</v>
      </c>
      <c r="E23" s="18" t="str">
        <f t="shared" si="1"/>
        <v>250211-002</v>
      </c>
      <c r="F23" s="18" t="s">
        <v>69</v>
      </c>
      <c r="G23" t="s">
        <v>66</v>
      </c>
      <c r="H23" t="s">
        <v>28</v>
      </c>
      <c r="I23" s="2">
        <v>44761</v>
      </c>
      <c r="J23" s="2" t="s">
        <v>29</v>
      </c>
      <c r="K23" s="2" t="s">
        <v>18</v>
      </c>
      <c r="L23">
        <v>18650</v>
      </c>
      <c r="M23" s="2" t="s">
        <v>19</v>
      </c>
      <c r="N23" s="10">
        <v>3.2</v>
      </c>
      <c r="O23" s="10">
        <v>1.6</v>
      </c>
      <c r="P23">
        <v>100</v>
      </c>
      <c r="Q23" s="20">
        <f>'Cycling data'!E23</f>
        <v>1.6559999999999999</v>
      </c>
      <c r="R23" s="6" t="s">
        <v>31</v>
      </c>
      <c r="S23" s="6">
        <v>40</v>
      </c>
      <c r="T23" s="6" t="s">
        <v>41</v>
      </c>
      <c r="U23" s="20">
        <f>Mass!L23</f>
        <v>43.412999999999997</v>
      </c>
      <c r="V23" s="20">
        <f>Mass!M23</f>
        <v>48.895999999999994</v>
      </c>
      <c r="W23" t="s">
        <v>67</v>
      </c>
    </row>
    <row r="24" spans="1:23" x14ac:dyDescent="0.35">
      <c r="A24" s="18" t="str">
        <f t="shared" si="0"/>
        <v>2025-02-11_003_RSproLiFePO4-18650-1600mAh_SOC100_Pwr40</v>
      </c>
      <c r="B24" s="2">
        <v>45699</v>
      </c>
      <c r="C24" s="7">
        <v>3</v>
      </c>
      <c r="D24" s="25" t="str">
        <f>'Cycling data'!D24</f>
        <v>Cell 19</v>
      </c>
      <c r="E24" s="18" t="str">
        <f t="shared" si="1"/>
        <v>250211-003</v>
      </c>
      <c r="F24" s="18" t="s">
        <v>69</v>
      </c>
      <c r="G24" t="s">
        <v>66</v>
      </c>
      <c r="H24" t="s">
        <v>28</v>
      </c>
      <c r="I24" s="2">
        <v>44761</v>
      </c>
      <c r="J24" s="2" t="s">
        <v>29</v>
      </c>
      <c r="K24" s="2" t="s">
        <v>18</v>
      </c>
      <c r="L24">
        <v>18650</v>
      </c>
      <c r="M24" s="2" t="s">
        <v>19</v>
      </c>
      <c r="N24" s="10">
        <v>3.2</v>
      </c>
      <c r="O24" s="10">
        <v>1.6</v>
      </c>
      <c r="P24">
        <v>100</v>
      </c>
      <c r="Q24" s="20">
        <f>'Cycling data'!E24</f>
        <v>1.5549999999999999</v>
      </c>
      <c r="R24" s="6" t="s">
        <v>31</v>
      </c>
      <c r="S24" s="6">
        <v>40</v>
      </c>
      <c r="T24" s="6" t="s">
        <v>41</v>
      </c>
      <c r="U24" s="20">
        <f>Mass!L24</f>
        <v>43.600444444444442</v>
      </c>
      <c r="V24" s="20">
        <f>Mass!M24</f>
        <v>48.770666666666671</v>
      </c>
      <c r="W24" t="s">
        <v>31</v>
      </c>
    </row>
    <row r="25" spans="1:23" x14ac:dyDescent="0.35">
      <c r="A25" s="18" t="str">
        <f t="shared" si="0"/>
        <v>2025-02-11_004_RSproLiFePO4-18650-1600mAh_SOC100_Pwr40</v>
      </c>
      <c r="B25" s="2">
        <v>45699</v>
      </c>
      <c r="C25" s="7">
        <v>4</v>
      </c>
      <c r="D25" s="25" t="str">
        <f>'Cycling data'!D25</f>
        <v>Cell 20</v>
      </c>
      <c r="E25" s="18" t="str">
        <f t="shared" si="1"/>
        <v>250211-004</v>
      </c>
      <c r="F25" s="18" t="s">
        <v>69</v>
      </c>
      <c r="G25" t="s">
        <v>66</v>
      </c>
      <c r="H25" t="s">
        <v>28</v>
      </c>
      <c r="I25" s="2">
        <v>44761</v>
      </c>
      <c r="J25" s="2" t="s">
        <v>29</v>
      </c>
      <c r="K25" s="2" t="s">
        <v>18</v>
      </c>
      <c r="L25">
        <v>18650</v>
      </c>
      <c r="M25" s="2" t="s">
        <v>19</v>
      </c>
      <c r="N25" s="10">
        <v>3.2</v>
      </c>
      <c r="O25" s="10">
        <v>1.6</v>
      </c>
      <c r="P25">
        <v>100</v>
      </c>
      <c r="Q25" s="20">
        <f>'Cycling data'!E25</f>
        <v>1.4730000000000001</v>
      </c>
      <c r="R25" s="6" t="s">
        <v>31</v>
      </c>
      <c r="S25" s="6">
        <v>40</v>
      </c>
      <c r="T25" s="6" t="s">
        <v>41</v>
      </c>
      <c r="U25" s="20">
        <f>Mass!L25</f>
        <v>43.553555555555562</v>
      </c>
      <c r="V25" s="20">
        <f>Mass!M25</f>
        <v>48.832999999999998</v>
      </c>
      <c r="W25" t="s">
        <v>31</v>
      </c>
    </row>
    <row r="26" spans="1:23" x14ac:dyDescent="0.35">
      <c r="A26" s="18" t="str">
        <f t="shared" si="0"/>
        <v>2025-02-12_001_RSproLiFePO4-18650-1600mAh_SOC100_Pwr40</v>
      </c>
      <c r="B26" s="2">
        <v>45700</v>
      </c>
      <c r="C26" s="7">
        <v>1</v>
      </c>
      <c r="D26" s="25" t="str">
        <f>'Cycling data'!D26</f>
        <v>Cell 21</v>
      </c>
      <c r="E26" s="18" t="str">
        <f t="shared" si="1"/>
        <v>250212-001</v>
      </c>
      <c r="F26" s="18" t="s">
        <v>69</v>
      </c>
      <c r="G26" t="s">
        <v>66</v>
      </c>
      <c r="H26" t="s">
        <v>28</v>
      </c>
      <c r="I26" s="2">
        <v>44761</v>
      </c>
      <c r="J26" s="2" t="s">
        <v>29</v>
      </c>
      <c r="K26" s="2" t="s">
        <v>18</v>
      </c>
      <c r="L26">
        <v>18650</v>
      </c>
      <c r="M26" s="2" t="s">
        <v>19</v>
      </c>
      <c r="N26" s="10">
        <v>3.2</v>
      </c>
      <c r="O26" s="10">
        <v>1.6</v>
      </c>
      <c r="P26">
        <v>100</v>
      </c>
      <c r="Q26" s="20">
        <f>'Cycling data'!E26</f>
        <v>1.5820000000000001</v>
      </c>
      <c r="R26" s="6" t="s">
        <v>31</v>
      </c>
      <c r="S26" s="6">
        <v>40</v>
      </c>
      <c r="T26" s="6" t="s">
        <v>41</v>
      </c>
      <c r="U26" s="20">
        <f>Mass!L26</f>
        <v>43.939555555555557</v>
      </c>
      <c r="V26" s="20">
        <f>Mass!M26</f>
        <v>49.372999999999998</v>
      </c>
      <c r="W26" t="s">
        <v>67</v>
      </c>
    </row>
    <row r="27" spans="1:23" x14ac:dyDescent="0.35">
      <c r="A27" s="18" t="str">
        <f t="shared" si="0"/>
        <v>2025-02-12_002_RSproLiFePO4-18650-1600mAh_SOC100_Pwr40</v>
      </c>
      <c r="B27" s="2">
        <v>45700</v>
      </c>
      <c r="C27" s="7">
        <v>2</v>
      </c>
      <c r="D27" s="25" t="str">
        <f>'Cycling data'!D27</f>
        <v>Cell 22</v>
      </c>
      <c r="E27" s="18" t="str">
        <f t="shared" si="1"/>
        <v>250212-002</v>
      </c>
      <c r="F27" s="18" t="s">
        <v>69</v>
      </c>
      <c r="G27" t="s">
        <v>66</v>
      </c>
      <c r="H27" t="s">
        <v>28</v>
      </c>
      <c r="I27" s="2">
        <v>44761</v>
      </c>
      <c r="J27" s="2" t="s">
        <v>29</v>
      </c>
      <c r="K27" s="2" t="s">
        <v>18</v>
      </c>
      <c r="L27">
        <v>18650</v>
      </c>
      <c r="M27" s="2" t="s">
        <v>19</v>
      </c>
      <c r="N27" s="10">
        <v>3.2</v>
      </c>
      <c r="O27" s="10">
        <v>1.6</v>
      </c>
      <c r="P27">
        <v>100</v>
      </c>
      <c r="Q27" s="20">
        <f>'Cycling data'!E27</f>
        <v>1.62</v>
      </c>
      <c r="R27" s="6" t="s">
        <v>31</v>
      </c>
      <c r="S27" s="6">
        <v>40</v>
      </c>
      <c r="T27" s="6" t="s">
        <v>41</v>
      </c>
      <c r="U27" s="20">
        <f>Mass!L27</f>
        <v>43.491555555555557</v>
      </c>
      <c r="V27" s="20">
        <f>Mass!M27</f>
        <v>49.094000000000001</v>
      </c>
      <c r="W27" t="s">
        <v>67</v>
      </c>
    </row>
    <row r="28" spans="1:23" x14ac:dyDescent="0.35">
      <c r="A28" s="18" t="str">
        <f t="shared" si="0"/>
        <v>2025-02-12_003_RSproLiFePO4-18650-1600mAh_SOC100_Pwr40</v>
      </c>
      <c r="B28" s="2">
        <v>45700</v>
      </c>
      <c r="C28" s="7">
        <v>3</v>
      </c>
      <c r="D28" s="25" t="str">
        <f>'Cycling data'!D28</f>
        <v>Cell 23</v>
      </c>
      <c r="E28" s="18" t="str">
        <f t="shared" si="1"/>
        <v>250212-003</v>
      </c>
      <c r="F28" s="18" t="s">
        <v>69</v>
      </c>
      <c r="G28" t="s">
        <v>66</v>
      </c>
      <c r="H28" t="s">
        <v>28</v>
      </c>
      <c r="I28" s="2">
        <v>44761</v>
      </c>
      <c r="J28" s="2" t="s">
        <v>29</v>
      </c>
      <c r="K28" s="2" t="s">
        <v>18</v>
      </c>
      <c r="L28">
        <v>18650</v>
      </c>
      <c r="M28" s="2" t="s">
        <v>19</v>
      </c>
      <c r="N28" s="10">
        <v>3.2</v>
      </c>
      <c r="O28" s="10">
        <v>1.6</v>
      </c>
      <c r="P28">
        <v>100</v>
      </c>
      <c r="Q28" s="20">
        <f>'Cycling data'!E28</f>
        <v>1.454</v>
      </c>
      <c r="R28" s="6" t="s">
        <v>31</v>
      </c>
      <c r="S28" s="6">
        <v>40</v>
      </c>
      <c r="T28" s="6" t="s">
        <v>41</v>
      </c>
      <c r="U28" s="20">
        <f>Mass!L28</f>
        <v>43.812444444444438</v>
      </c>
      <c r="V28" s="20">
        <f>Mass!M28</f>
        <v>49.255333333333333</v>
      </c>
      <c r="W28" t="s">
        <v>31</v>
      </c>
    </row>
    <row r="29" spans="1:23" x14ac:dyDescent="0.35">
      <c r="A29" s="18" t="str">
        <f t="shared" si="0"/>
        <v>2025-02-12_004_RSproLiFePO4-18650-1600mAh_SOC100_Pwr40</v>
      </c>
      <c r="B29" s="2">
        <v>45700</v>
      </c>
      <c r="C29" s="7">
        <v>4</v>
      </c>
      <c r="D29" s="25" t="str">
        <f>'Cycling data'!D29</f>
        <v>Cell 24</v>
      </c>
      <c r="E29" s="18" t="str">
        <f t="shared" si="1"/>
        <v>250212-004</v>
      </c>
      <c r="F29" s="18" t="s">
        <v>69</v>
      </c>
      <c r="G29" t="s">
        <v>66</v>
      </c>
      <c r="H29" t="s">
        <v>28</v>
      </c>
      <c r="I29" s="2">
        <v>44761</v>
      </c>
      <c r="J29" s="2" t="s">
        <v>29</v>
      </c>
      <c r="K29" s="2" t="s">
        <v>18</v>
      </c>
      <c r="L29">
        <v>18650</v>
      </c>
      <c r="M29" s="2" t="s">
        <v>19</v>
      </c>
      <c r="N29" s="10">
        <v>3.2</v>
      </c>
      <c r="O29" s="10">
        <v>1.6</v>
      </c>
      <c r="P29">
        <v>100</v>
      </c>
      <c r="Q29" s="20">
        <f>'Cycling data'!E29</f>
        <v>1.454</v>
      </c>
      <c r="R29" s="6" t="s">
        <v>31</v>
      </c>
      <c r="S29" s="6">
        <v>40</v>
      </c>
      <c r="T29" s="6" t="s">
        <v>41</v>
      </c>
      <c r="U29" s="20">
        <f>Mass!L29</f>
        <v>44.894666666666666</v>
      </c>
      <c r="V29" s="20">
        <f>Mass!M29</f>
        <v>49.395333333333333</v>
      </c>
      <c r="W29" t="s">
        <v>31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Select" xr:uid="{00000000-0002-0000-0000-000000000000}">
          <x14:formula1>
            <xm:f>DropDowns!$A$1:$A$7</xm:f>
          </x14:formula1>
          <xm:sqref>M2:M29</xm:sqref>
        </x14:dataValidation>
        <x14:dataValidation type="list" allowBlank="1" showInputMessage="1" showErrorMessage="1" prompt="Select" xr:uid="{00000000-0002-0000-0000-000001000000}">
          <x14:formula1>
            <xm:f>DropDowns!$B$1:$B$4</xm:f>
          </x14:formula1>
          <xm:sqref>K2:K29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workbookViewId="0">
      <selection activeCell="A30" sqref="A30:XFD50"/>
    </sheetView>
  </sheetViews>
  <sheetFormatPr defaultRowHeight="14.5" x14ac:dyDescent="0.35"/>
  <cols>
    <col min="1" max="1" width="69.54296875" style="18" customWidth="1"/>
    <col min="2" max="2" width="10.453125" style="18" bestFit="1" customWidth="1"/>
    <col min="3" max="3" width="10.453125" customWidth="1"/>
    <col min="6" max="6" width="13.453125" style="31" customWidth="1"/>
  </cols>
  <sheetData>
    <row r="1" spans="1:6" s="16" customFormat="1" ht="43.5" x14ac:dyDescent="0.35">
      <c r="A1" s="17" t="s">
        <v>13</v>
      </c>
      <c r="B1" s="17" t="s">
        <v>12</v>
      </c>
      <c r="C1" s="3" t="s">
        <v>56</v>
      </c>
      <c r="D1" s="15" t="s">
        <v>54</v>
      </c>
      <c r="E1" s="15" t="s">
        <v>55</v>
      </c>
      <c r="F1" s="32" t="s">
        <v>57</v>
      </c>
    </row>
    <row r="2" spans="1:6" x14ac:dyDescent="0.35">
      <c r="A2" s="18" t="str">
        <f>Before!A2</f>
        <v>2024-10-29_001_RSproLiFePO4-18650-1600mAh_SOC100_Pwr40</v>
      </c>
      <c r="B2" s="18" t="str">
        <f>Before!E2</f>
        <v>241029-001</v>
      </c>
      <c r="C2" s="23">
        <v>45593</v>
      </c>
      <c r="D2" t="s">
        <v>58</v>
      </c>
      <c r="E2">
        <v>1.581</v>
      </c>
      <c r="F2" s="31">
        <v>15.421170168458792</v>
      </c>
    </row>
    <row r="3" spans="1:6" x14ac:dyDescent="0.35">
      <c r="A3" s="18" t="str">
        <f>Before!A3</f>
        <v>2024-10-30_001_RSproLiFePO4-18650-1600mAh_SOC100_Pwr40</v>
      </c>
      <c r="B3" s="18" t="str">
        <f>Before!E3</f>
        <v>241030-001</v>
      </c>
      <c r="C3" s="23">
        <v>45593</v>
      </c>
      <c r="D3" t="s">
        <v>59</v>
      </c>
      <c r="E3">
        <v>1.6120000000000001</v>
      </c>
      <c r="F3" s="31">
        <v>15.302109933139581</v>
      </c>
    </row>
    <row r="4" spans="1:6" x14ac:dyDescent="0.35">
      <c r="A4" s="18" t="str">
        <f>Before!A4</f>
        <v>2024-10-30_002_RSproLiFePO4-18650-1600mAh_SOC100_Pwr40</v>
      </c>
      <c r="B4" s="18" t="str">
        <f>Before!E4</f>
        <v>241030-002</v>
      </c>
      <c r="C4" s="23">
        <v>45593</v>
      </c>
      <c r="D4" t="s">
        <v>60</v>
      </c>
      <c r="E4">
        <v>1.5780000000000001</v>
      </c>
      <c r="F4" s="31">
        <v>13.741013742071827</v>
      </c>
    </row>
    <row r="5" spans="1:6" x14ac:dyDescent="0.35">
      <c r="A5" s="18" t="str">
        <f>Before!A5</f>
        <v>2024-10-30_003_RSproLiFePO4-18650-1600mAh_SOC100_Pwr40</v>
      </c>
      <c r="B5" s="18" t="str">
        <f>Before!E5</f>
        <v>241030-003</v>
      </c>
      <c r="C5" s="23">
        <v>45593</v>
      </c>
      <c r="D5" t="s">
        <v>61</v>
      </c>
      <c r="E5">
        <v>1.585</v>
      </c>
      <c r="F5" s="31">
        <v>14.024313009649306</v>
      </c>
    </row>
    <row r="6" spans="1:6" x14ac:dyDescent="0.35">
      <c r="A6" s="18" t="str">
        <f>Before!A6</f>
        <v>2024-10-30_004_RSproLiFePO4-18650-1600mAh_SOC100_Pwr40</v>
      </c>
      <c r="B6" s="18" t="str">
        <f>Before!E6</f>
        <v>241030-004</v>
      </c>
      <c r="C6" s="23">
        <v>45594</v>
      </c>
      <c r="D6" t="s">
        <v>62</v>
      </c>
      <c r="E6">
        <v>1.639</v>
      </c>
      <c r="F6" s="31">
        <v>14.045385752688393</v>
      </c>
    </row>
    <row r="7" spans="1:6" x14ac:dyDescent="0.35">
      <c r="A7" s="18" t="str">
        <f>Before!A7</f>
        <v>2024-10-30_005_RSproLiFePO4-18650-1600mAh_SOC100_Pwr40</v>
      </c>
      <c r="B7" s="18" t="str">
        <f>Before!E7</f>
        <v>241030-005</v>
      </c>
      <c r="C7" s="23">
        <v>45594</v>
      </c>
      <c r="D7" t="s">
        <v>63</v>
      </c>
      <c r="E7">
        <v>1.6060000000000001</v>
      </c>
      <c r="F7" s="31">
        <v>14.352278990588321</v>
      </c>
    </row>
    <row r="8" spans="1:6" x14ac:dyDescent="0.35">
      <c r="A8" s="18" t="str">
        <f>Before!A8</f>
        <v>2025-01-29_001_RSproLiFePO4-18650-1600mAh_SOC100_Pwr40</v>
      </c>
      <c r="B8" s="18" t="str">
        <f>Before!E8</f>
        <v>250129-001</v>
      </c>
      <c r="C8" s="23">
        <v>45594</v>
      </c>
      <c r="D8" t="s">
        <v>64</v>
      </c>
      <c r="E8">
        <v>1.58</v>
      </c>
      <c r="F8" s="31">
        <v>12.977105668319735</v>
      </c>
    </row>
    <row r="9" spans="1:6" x14ac:dyDescent="0.35">
      <c r="A9" s="18" t="str">
        <f>Before!A9</f>
        <v>2025-01-29_002_RSproLiFePO4-18650-1600mAh_SOC100_Pwr40</v>
      </c>
      <c r="B9" s="18" t="str">
        <f>Before!E9</f>
        <v>250129-002</v>
      </c>
      <c r="C9" s="23">
        <v>45594</v>
      </c>
      <c r="D9" t="s">
        <v>65</v>
      </c>
      <c r="E9">
        <v>1.5880000000000001</v>
      </c>
      <c r="F9" s="31">
        <v>13.126677471187577</v>
      </c>
    </row>
    <row r="10" spans="1:6" x14ac:dyDescent="0.35">
      <c r="A10" s="18" t="str">
        <f>Before!A10</f>
        <v>2024-11-26_001_RSproLiFePO4-26650-3300mAh_SOC100_Pwr80</v>
      </c>
      <c r="B10" s="18" t="str">
        <f>Before!E10</f>
        <v>241126-001</v>
      </c>
      <c r="C10" s="23">
        <v>45617</v>
      </c>
      <c r="D10" t="s">
        <v>73</v>
      </c>
      <c r="E10">
        <v>3.4449999999999998</v>
      </c>
      <c r="F10" s="31">
        <v>14.9369</v>
      </c>
    </row>
    <row r="11" spans="1:6" x14ac:dyDescent="0.35">
      <c r="A11" s="18" t="str">
        <f>Before!A11</f>
        <v>2024-11-26_002_RSproLiFePO4-26650-3300mAh_SOC100_Pwr80</v>
      </c>
      <c r="B11" s="18" t="str">
        <f>Before!E11</f>
        <v>241126-002</v>
      </c>
      <c r="C11" s="23">
        <v>45617</v>
      </c>
      <c r="D11" t="s">
        <v>74</v>
      </c>
      <c r="E11">
        <v>3.4359999999999999</v>
      </c>
      <c r="F11" s="31">
        <v>15.2356</v>
      </c>
    </row>
    <row r="12" spans="1:6" x14ac:dyDescent="0.35">
      <c r="A12" s="18" t="str">
        <f>Before!A12</f>
        <v>2024-11-27_001_RSproLiFePO4-26650-3300mAh_SOC100_Pwr80</v>
      </c>
      <c r="B12" s="18" t="str">
        <f>Before!E12</f>
        <v>241127-001</v>
      </c>
      <c r="C12" s="23">
        <v>45622</v>
      </c>
      <c r="D12" t="s">
        <v>75</v>
      </c>
      <c r="E12">
        <v>3.2490000000000001</v>
      </c>
      <c r="F12" s="31">
        <v>17.363399999999999</v>
      </c>
    </row>
    <row r="13" spans="1:6" x14ac:dyDescent="0.35">
      <c r="A13" s="18" t="str">
        <f>Before!A13</f>
        <v>2024-11-27_002_RSproLiFePO4-26650-3300mAh_SOC100_Pwr80</v>
      </c>
      <c r="B13" s="18" t="str">
        <f>Before!E13</f>
        <v>241127-002</v>
      </c>
      <c r="C13" s="23">
        <v>45622</v>
      </c>
      <c r="D13" t="s">
        <v>76</v>
      </c>
      <c r="E13">
        <v>3.222</v>
      </c>
      <c r="F13" s="31">
        <v>17.654</v>
      </c>
    </row>
    <row r="14" spans="1:6" x14ac:dyDescent="0.35">
      <c r="A14" s="18" t="str">
        <f>Before!A14</f>
        <v>2025-01-29_003_RSproLiFePO4-18650-1600mAh_SOC100_Pwr40</v>
      </c>
      <c r="B14" s="18" t="str">
        <f>Before!E14</f>
        <v>250129-003</v>
      </c>
      <c r="C14" s="23">
        <v>45685</v>
      </c>
      <c r="D14" t="s">
        <v>77</v>
      </c>
      <c r="E14">
        <v>1.49</v>
      </c>
      <c r="F14" s="31">
        <v>7.7466999999999997</v>
      </c>
    </row>
    <row r="15" spans="1:6" x14ac:dyDescent="0.35">
      <c r="A15" s="18" t="str">
        <f>Before!A15</f>
        <v>2025-01-29_004_RSproLiFePO4-18650-1600mAh_SOC100_Pwr40</v>
      </c>
      <c r="B15" s="18" t="str">
        <f>Before!E15</f>
        <v>250129-004</v>
      </c>
      <c r="C15" s="23">
        <v>45685</v>
      </c>
      <c r="D15" t="s">
        <v>78</v>
      </c>
      <c r="E15">
        <v>1.464</v>
      </c>
      <c r="F15" s="31">
        <v>7.5243000000000002</v>
      </c>
    </row>
    <row r="16" spans="1:6" x14ac:dyDescent="0.35">
      <c r="A16" s="18" t="str">
        <f>Before!A16</f>
        <v>2025-01-29_005_RSproLiFePO4-18650-1600mAh_SOC100_Pwr40</v>
      </c>
      <c r="B16" s="18" t="str">
        <f>Before!E16</f>
        <v>250129-005</v>
      </c>
      <c r="C16" s="23">
        <v>45685</v>
      </c>
      <c r="D16" t="s">
        <v>79</v>
      </c>
      <c r="E16">
        <v>1.601</v>
      </c>
      <c r="F16" s="31">
        <v>7.7877999999999998</v>
      </c>
    </row>
    <row r="17" spans="1:6" x14ac:dyDescent="0.35">
      <c r="A17" s="18" t="str">
        <f>Before!A17</f>
        <v>2025-01-30_001_RSproLiFePO4-18650-1600mAh_SOC100_Pwr40</v>
      </c>
      <c r="B17" s="18" t="str">
        <f>Before!E17</f>
        <v>250130-001</v>
      </c>
      <c r="C17" s="23">
        <v>45685</v>
      </c>
      <c r="D17" t="s">
        <v>80</v>
      </c>
      <c r="E17">
        <v>1.474</v>
      </c>
      <c r="F17" s="31">
        <v>7.8315000000000001</v>
      </c>
    </row>
    <row r="18" spans="1:6" x14ac:dyDescent="0.35">
      <c r="A18" s="18" t="str">
        <f>Before!A18</f>
        <v>2025-01-30_002_RSproLiFePO4-18650-1600mAh_SOC100_Pwr40</v>
      </c>
      <c r="B18" s="18" t="str">
        <f>Before!E18</f>
        <v>250130-002</v>
      </c>
      <c r="C18" s="23">
        <v>45686</v>
      </c>
      <c r="D18" t="s">
        <v>81</v>
      </c>
      <c r="E18">
        <v>1.5369999999999999</v>
      </c>
      <c r="F18" s="31">
        <v>8.7138000000000009</v>
      </c>
    </row>
    <row r="19" spans="1:6" x14ac:dyDescent="0.35">
      <c r="A19" s="18" t="str">
        <f>Before!A19</f>
        <v>2025-01-30_003_RSproLiFePO4-18650-1600mAh_SOC100_Pwr40</v>
      </c>
      <c r="B19" s="18" t="str">
        <f>Before!E19</f>
        <v>250130-003</v>
      </c>
      <c r="C19" s="23">
        <v>45686</v>
      </c>
      <c r="D19" t="s">
        <v>82</v>
      </c>
      <c r="E19">
        <v>1.4670000000000001</v>
      </c>
      <c r="F19" s="31">
        <v>8.5619999999999994</v>
      </c>
    </row>
    <row r="20" spans="1:6" x14ac:dyDescent="0.35">
      <c r="A20" s="18" t="str">
        <f>Before!A20</f>
        <v>2025-01-30_004_RSproLiFePO4-18650-1600mAh_SOC100_Pwr40</v>
      </c>
      <c r="B20" s="18" t="str">
        <f>Before!E20</f>
        <v>250130-004</v>
      </c>
      <c r="C20" s="23">
        <v>45686</v>
      </c>
      <c r="D20" t="s">
        <v>83</v>
      </c>
      <c r="E20">
        <v>1.5649999999999999</v>
      </c>
      <c r="F20" s="31">
        <v>8.0665999999999993</v>
      </c>
    </row>
    <row r="21" spans="1:6" x14ac:dyDescent="0.35">
      <c r="A21" s="18" t="str">
        <f>Before!A21</f>
        <v>2025-01-30_005_RSproLiFePO4-18650-1600mAh_SOC100_Pwr40</v>
      </c>
      <c r="B21" s="18" t="str">
        <f>Before!E21</f>
        <v>250130-005</v>
      </c>
      <c r="C21" s="23">
        <v>45686</v>
      </c>
      <c r="D21" t="s">
        <v>84</v>
      </c>
      <c r="E21">
        <v>1.52</v>
      </c>
      <c r="F21" s="31">
        <v>8.0175000000000001</v>
      </c>
    </row>
    <row r="22" spans="1:6" x14ac:dyDescent="0.35">
      <c r="A22" s="18" t="str">
        <f>Before!A22</f>
        <v>2025-02-11_001_RSproLiFePO4-18650-1600mAh_SOC100_Pwr40</v>
      </c>
      <c r="B22" s="18" t="str">
        <f>Before!E22</f>
        <v>250211-001</v>
      </c>
      <c r="C22" s="23">
        <v>45687</v>
      </c>
      <c r="D22" t="s">
        <v>85</v>
      </c>
      <c r="E22">
        <v>1.536</v>
      </c>
      <c r="F22" s="31">
        <v>14.0715</v>
      </c>
    </row>
    <row r="23" spans="1:6" x14ac:dyDescent="0.35">
      <c r="A23" s="18" t="str">
        <f>Before!A23</f>
        <v>2025-02-11_002_RSproLiFePO4-18650-1600mAh_SOC100_Pwr40</v>
      </c>
      <c r="B23" s="18" t="str">
        <f>Before!E23</f>
        <v>250211-002</v>
      </c>
      <c r="C23" s="23">
        <v>45687</v>
      </c>
      <c r="D23" t="s">
        <v>86</v>
      </c>
      <c r="E23">
        <v>1.6559999999999999</v>
      </c>
      <c r="F23" s="31">
        <v>11.0159</v>
      </c>
    </row>
    <row r="24" spans="1:6" x14ac:dyDescent="0.35">
      <c r="A24" s="18" t="str">
        <f>Before!A24</f>
        <v>2025-02-11_003_RSproLiFePO4-18650-1600mAh_SOC100_Pwr40</v>
      </c>
      <c r="B24" s="18" t="str">
        <f>Before!E24</f>
        <v>250211-003</v>
      </c>
      <c r="C24" s="23">
        <v>45687</v>
      </c>
      <c r="D24" t="s">
        <v>87</v>
      </c>
      <c r="E24">
        <v>1.5549999999999999</v>
      </c>
      <c r="F24" s="31">
        <v>7.6516999999999999</v>
      </c>
    </row>
    <row r="25" spans="1:6" x14ac:dyDescent="0.35">
      <c r="A25" s="18" t="str">
        <f>Before!A25</f>
        <v>2025-02-11_004_RSproLiFePO4-18650-1600mAh_SOC100_Pwr40</v>
      </c>
      <c r="B25" s="18" t="str">
        <f>Before!E25</f>
        <v>250211-004</v>
      </c>
      <c r="C25" s="23">
        <v>45687</v>
      </c>
      <c r="D25" t="s">
        <v>88</v>
      </c>
      <c r="E25">
        <v>1.4730000000000001</v>
      </c>
      <c r="F25" s="31">
        <v>6.9832999999999998</v>
      </c>
    </row>
    <row r="26" spans="1:6" x14ac:dyDescent="0.35">
      <c r="A26" s="18" t="str">
        <f>Before!A26</f>
        <v>2025-02-12_001_RSproLiFePO4-18650-1600mAh_SOC100_Pwr40</v>
      </c>
      <c r="B26" s="18" t="str">
        <f>Before!E26</f>
        <v>250212-001</v>
      </c>
      <c r="C26" s="23">
        <v>45699</v>
      </c>
      <c r="D26" t="s">
        <v>89</v>
      </c>
      <c r="E26">
        <v>1.5820000000000001</v>
      </c>
      <c r="F26" s="31">
        <v>11.414400000000001</v>
      </c>
    </row>
    <row r="27" spans="1:6" x14ac:dyDescent="0.35">
      <c r="A27" s="18" t="str">
        <f>Before!A27</f>
        <v>2025-02-12_002_RSproLiFePO4-18650-1600mAh_SOC100_Pwr40</v>
      </c>
      <c r="B27" s="18" t="str">
        <f>Before!E27</f>
        <v>250212-002</v>
      </c>
      <c r="C27" s="23">
        <v>45699</v>
      </c>
      <c r="D27" t="s">
        <v>90</v>
      </c>
      <c r="E27">
        <v>1.62</v>
      </c>
      <c r="F27" s="31">
        <v>11.022500000000001</v>
      </c>
    </row>
    <row r="28" spans="1:6" x14ac:dyDescent="0.35">
      <c r="A28" s="18" t="str">
        <f>Before!A28</f>
        <v>2025-02-12_003_RSproLiFePO4-18650-1600mAh_SOC100_Pwr40</v>
      </c>
      <c r="B28" s="18" t="str">
        <f>Before!E28</f>
        <v>250212-003</v>
      </c>
      <c r="C28" s="23">
        <v>45699</v>
      </c>
      <c r="D28" t="s">
        <v>91</v>
      </c>
      <c r="E28">
        <v>1.454</v>
      </c>
      <c r="F28" s="31">
        <v>4.4646999999999997</v>
      </c>
    </row>
    <row r="29" spans="1:6" x14ac:dyDescent="0.35">
      <c r="A29" s="18" t="str">
        <f>Before!A29</f>
        <v>2025-02-12_004_RSproLiFePO4-18650-1600mAh_SOC100_Pwr40</v>
      </c>
      <c r="B29" s="18" t="str">
        <f>Before!E29</f>
        <v>250212-004</v>
      </c>
      <c r="C29" s="23">
        <v>45699</v>
      </c>
      <c r="D29" t="s">
        <v>92</v>
      </c>
      <c r="E29">
        <v>1.454</v>
      </c>
      <c r="F29" s="31">
        <v>4.5480999999999998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9"/>
  <sheetViews>
    <sheetView workbookViewId="0">
      <pane ySplit="1" topLeftCell="A2" activePane="bottomLeft" state="frozen"/>
      <selection pane="bottomLeft" activeCell="A30" sqref="A30:XFD50"/>
    </sheetView>
  </sheetViews>
  <sheetFormatPr defaultRowHeight="14.5" x14ac:dyDescent="0.35"/>
  <cols>
    <col min="1" max="1" width="57.81640625" style="18" bestFit="1" customWidth="1"/>
    <col min="2" max="2" width="10.7265625" style="18" bestFit="1" customWidth="1"/>
    <col min="3" max="3" width="9.453125" style="18" bestFit="1" customWidth="1"/>
    <col min="4" max="4" width="11.26953125" style="18" bestFit="1" customWidth="1"/>
    <col min="5" max="5" width="10.1796875" customWidth="1"/>
    <col min="6" max="6" width="8.7265625" bestFit="1" customWidth="1"/>
  </cols>
  <sheetData>
    <row r="1" spans="1:13" ht="45" customHeight="1" x14ac:dyDescent="0.35">
      <c r="A1" s="17" t="s">
        <v>13</v>
      </c>
      <c r="B1" s="17" t="s">
        <v>12</v>
      </c>
      <c r="C1" s="19" t="s">
        <v>15</v>
      </c>
      <c r="D1" s="19" t="s">
        <v>16</v>
      </c>
      <c r="E1" s="3" t="s">
        <v>38</v>
      </c>
      <c r="F1" s="3" t="s">
        <v>32</v>
      </c>
      <c r="G1" s="3" t="s">
        <v>35</v>
      </c>
      <c r="H1" s="3" t="s">
        <v>34</v>
      </c>
      <c r="I1" s="3" t="s">
        <v>33</v>
      </c>
      <c r="J1" s="3" t="s">
        <v>36</v>
      </c>
      <c r="K1" s="3" t="s">
        <v>37</v>
      </c>
      <c r="L1" s="3" t="s">
        <v>42</v>
      </c>
      <c r="M1" s="3" t="s">
        <v>43</v>
      </c>
    </row>
    <row r="2" spans="1:13" x14ac:dyDescent="0.35">
      <c r="A2" s="18" t="str">
        <f>Before!A2</f>
        <v>2024-10-29_001_RSproLiFePO4-18650-1600mAh_SOC100_Pwr40</v>
      </c>
      <c r="B2" s="18" t="str">
        <f>Before!E2</f>
        <v>241029-001</v>
      </c>
      <c r="C2" s="18">
        <f>Mass!N2</f>
        <v>33.126666666666665</v>
      </c>
      <c r="D2" s="18">
        <f>Mass!O2</f>
        <v>42.268999999999998</v>
      </c>
      <c r="E2" t="s">
        <v>31</v>
      </c>
      <c r="F2" t="s">
        <v>31</v>
      </c>
      <c r="G2" t="s">
        <v>41</v>
      </c>
      <c r="H2" t="s">
        <v>41</v>
      </c>
      <c r="I2" t="s">
        <v>41</v>
      </c>
      <c r="J2" t="s">
        <v>31</v>
      </c>
      <c r="K2" t="s">
        <v>31</v>
      </c>
      <c r="L2" t="s">
        <v>31</v>
      </c>
      <c r="M2" t="s">
        <v>70</v>
      </c>
    </row>
    <row r="3" spans="1:13" x14ac:dyDescent="0.35">
      <c r="A3" s="18" t="str">
        <f>Before!A3</f>
        <v>2024-10-30_001_RSproLiFePO4-18650-1600mAh_SOC100_Pwr40</v>
      </c>
      <c r="B3" s="18" t="str">
        <f>Before!E3</f>
        <v>241030-001</v>
      </c>
      <c r="C3" s="18">
        <f>Mass!N3</f>
        <v>32.23866666666666</v>
      </c>
      <c r="D3" s="18">
        <f>Mass!O3</f>
        <v>41.124333333333333</v>
      </c>
      <c r="E3" t="s">
        <v>31</v>
      </c>
      <c r="F3" t="s">
        <v>31</v>
      </c>
      <c r="G3" t="s">
        <v>41</v>
      </c>
      <c r="H3" t="s">
        <v>41</v>
      </c>
      <c r="I3" t="s">
        <v>41</v>
      </c>
      <c r="J3" t="s">
        <v>31</v>
      </c>
      <c r="K3" t="s">
        <v>31</v>
      </c>
      <c r="L3" t="s">
        <v>70</v>
      </c>
      <c r="M3" t="s">
        <v>71</v>
      </c>
    </row>
    <row r="4" spans="1:13" x14ac:dyDescent="0.35">
      <c r="A4" s="18" t="str">
        <f>Before!A4</f>
        <v>2024-10-30_002_RSproLiFePO4-18650-1600mAh_SOC100_Pwr40</v>
      </c>
      <c r="B4" s="18" t="str">
        <f>Before!E4</f>
        <v>241030-002</v>
      </c>
      <c r="C4" s="18">
        <f>Mass!N4</f>
        <v>32.388666666666659</v>
      </c>
      <c r="D4" s="18">
        <f>Mass!O4</f>
        <v>41.193999999999996</v>
      </c>
      <c r="E4" t="s">
        <v>31</v>
      </c>
      <c r="F4" t="s">
        <v>31</v>
      </c>
      <c r="G4" t="s">
        <v>41</v>
      </c>
      <c r="H4" t="s">
        <v>41</v>
      </c>
      <c r="I4" t="s">
        <v>41</v>
      </c>
      <c r="J4" t="s">
        <v>31</v>
      </c>
      <c r="K4" t="s">
        <v>31</v>
      </c>
      <c r="L4" t="s">
        <v>70</v>
      </c>
      <c r="M4" t="s">
        <v>71</v>
      </c>
    </row>
    <row r="5" spans="1:13" x14ac:dyDescent="0.35">
      <c r="A5" s="18" t="str">
        <f>Before!A5</f>
        <v>2024-10-30_003_RSproLiFePO4-18650-1600mAh_SOC100_Pwr40</v>
      </c>
      <c r="B5" s="18" t="str">
        <f>Before!E5</f>
        <v>241030-003</v>
      </c>
      <c r="C5" s="18">
        <f>Mass!N5</f>
        <v>32.373666666666658</v>
      </c>
      <c r="D5" s="18">
        <f>Mass!O5</f>
        <v>41.542999999999999</v>
      </c>
      <c r="E5" t="s">
        <v>31</v>
      </c>
      <c r="F5" t="s">
        <v>31</v>
      </c>
      <c r="G5" t="s">
        <v>41</v>
      </c>
      <c r="H5" t="s">
        <v>41</v>
      </c>
      <c r="I5" t="s">
        <v>41</v>
      </c>
      <c r="J5" t="s">
        <v>31</v>
      </c>
      <c r="K5" t="s">
        <v>31</v>
      </c>
      <c r="L5" t="s">
        <v>70</v>
      </c>
      <c r="M5" t="s">
        <v>71</v>
      </c>
    </row>
    <row r="6" spans="1:13" x14ac:dyDescent="0.35">
      <c r="A6" s="18" t="str">
        <f>Before!A6</f>
        <v>2024-10-30_004_RSproLiFePO4-18650-1600mAh_SOC100_Pwr40</v>
      </c>
      <c r="B6" s="18" t="str">
        <f>Before!E6</f>
        <v>241030-004</v>
      </c>
      <c r="C6" s="18">
        <f>Mass!N6</f>
        <v>32.894333333333336</v>
      </c>
      <c r="D6" s="18">
        <f>Mass!O6</f>
        <v>42.028666666666666</v>
      </c>
      <c r="E6" t="s">
        <v>31</v>
      </c>
      <c r="F6" t="s">
        <v>31</v>
      </c>
      <c r="G6" t="s">
        <v>41</v>
      </c>
      <c r="H6" t="s">
        <v>41</v>
      </c>
      <c r="I6" t="s">
        <v>41</v>
      </c>
      <c r="J6" t="s">
        <v>31</v>
      </c>
      <c r="K6" t="s">
        <v>31</v>
      </c>
      <c r="L6" t="s">
        <v>31</v>
      </c>
      <c r="M6" t="s">
        <v>70</v>
      </c>
    </row>
    <row r="7" spans="1:13" x14ac:dyDescent="0.35">
      <c r="A7" s="18" t="str">
        <f>Before!A7</f>
        <v>2024-10-30_005_RSproLiFePO4-18650-1600mAh_SOC100_Pwr40</v>
      </c>
      <c r="B7" s="18" t="str">
        <f>Before!E7</f>
        <v>241030-005</v>
      </c>
      <c r="C7" s="18">
        <f>Mass!N7</f>
        <v>33.667333333333332</v>
      </c>
      <c r="D7" s="18">
        <f>Mass!O7</f>
        <v>42.863333333333337</v>
      </c>
      <c r="E7" t="s">
        <v>31</v>
      </c>
      <c r="F7" t="s">
        <v>31</v>
      </c>
      <c r="G7" t="s">
        <v>41</v>
      </c>
      <c r="H7" t="s">
        <v>41</v>
      </c>
      <c r="I7" t="s">
        <v>41</v>
      </c>
      <c r="J7" t="s">
        <v>31</v>
      </c>
      <c r="K7" t="s">
        <v>31</v>
      </c>
      <c r="L7" t="s">
        <v>31</v>
      </c>
      <c r="M7" t="s">
        <v>70</v>
      </c>
    </row>
    <row r="8" spans="1:13" x14ac:dyDescent="0.35">
      <c r="A8" s="18" t="str">
        <f>Before!A8</f>
        <v>2025-01-29_001_RSproLiFePO4-18650-1600mAh_SOC100_Pwr40</v>
      </c>
      <c r="B8" s="18" t="str">
        <f>Before!E8</f>
        <v>250129-001</v>
      </c>
      <c r="C8" s="18">
        <f>Mass!N8</f>
        <v>32.785333333333334</v>
      </c>
      <c r="D8" s="18">
        <f>Mass!O8</f>
        <v>41.476999999999997</v>
      </c>
      <c r="E8" t="s">
        <v>31</v>
      </c>
      <c r="F8" t="s">
        <v>31</v>
      </c>
      <c r="G8" t="s">
        <v>41</v>
      </c>
      <c r="H8" t="s">
        <v>41</v>
      </c>
      <c r="I8" t="s">
        <v>41</v>
      </c>
      <c r="J8" t="s">
        <v>31</v>
      </c>
      <c r="K8" t="s">
        <v>31</v>
      </c>
      <c r="L8" t="s">
        <v>70</v>
      </c>
      <c r="M8" t="s">
        <v>71</v>
      </c>
    </row>
    <row r="9" spans="1:13" x14ac:dyDescent="0.35">
      <c r="A9" s="18" t="str">
        <f>Before!A9</f>
        <v>2025-01-29_002_RSproLiFePO4-18650-1600mAh_SOC100_Pwr40</v>
      </c>
      <c r="B9" s="18" t="str">
        <f>Before!E9</f>
        <v>250129-002</v>
      </c>
      <c r="C9" s="18">
        <f>Mass!N9</f>
        <v>32.313333333333325</v>
      </c>
      <c r="D9" s="18">
        <f>Mass!O9</f>
        <v>40.827666666666666</v>
      </c>
      <c r="E9" t="s">
        <v>31</v>
      </c>
      <c r="F9" t="s">
        <v>31</v>
      </c>
      <c r="G9" t="s">
        <v>41</v>
      </c>
      <c r="H9" t="s">
        <v>41</v>
      </c>
      <c r="I9" t="s">
        <v>41</v>
      </c>
      <c r="J9" t="s">
        <v>31</v>
      </c>
      <c r="K9" t="s">
        <v>31</v>
      </c>
      <c r="L9" t="s">
        <v>70</v>
      </c>
      <c r="M9" t="s">
        <v>71</v>
      </c>
    </row>
    <row r="10" spans="1:13" x14ac:dyDescent="0.35">
      <c r="A10" s="18" t="str">
        <f>Before!A10</f>
        <v>2024-11-26_001_RSproLiFePO4-26650-3300mAh_SOC100_Pwr80</v>
      </c>
      <c r="B10" s="18" t="str">
        <f>Before!E10</f>
        <v>241126-001</v>
      </c>
      <c r="C10" s="18">
        <f>Mass!N10</f>
        <v>69.343333333333348</v>
      </c>
      <c r="D10" s="18">
        <f>Mass!O10</f>
        <v>80.099999999999994</v>
      </c>
      <c r="E10" t="s">
        <v>31</v>
      </c>
      <c r="F10" t="s">
        <v>31</v>
      </c>
      <c r="G10" t="s">
        <v>41</v>
      </c>
      <c r="H10" t="s">
        <v>41</v>
      </c>
      <c r="I10" t="s">
        <v>41</v>
      </c>
      <c r="J10" t="s">
        <v>31</v>
      </c>
      <c r="K10" t="s">
        <v>31</v>
      </c>
      <c r="L10" t="s">
        <v>70</v>
      </c>
      <c r="M10" t="s">
        <v>71</v>
      </c>
    </row>
    <row r="11" spans="1:13" x14ac:dyDescent="0.35">
      <c r="A11" s="18" t="str">
        <f>Before!A11</f>
        <v>2024-11-26_002_RSproLiFePO4-26650-3300mAh_SOC100_Pwr80</v>
      </c>
      <c r="B11" s="18" t="str">
        <f>Before!E11</f>
        <v>241126-002</v>
      </c>
      <c r="C11" s="18">
        <f>Mass!N11</f>
        <v>64.620000000000033</v>
      </c>
      <c r="D11" s="18">
        <f>Mass!O11</f>
        <v>75.096666666666678</v>
      </c>
      <c r="E11" t="s">
        <v>31</v>
      </c>
      <c r="F11" t="s">
        <v>31</v>
      </c>
      <c r="G11" t="s">
        <v>41</v>
      </c>
      <c r="H11" t="s">
        <v>41</v>
      </c>
      <c r="I11" t="s">
        <v>41</v>
      </c>
      <c r="J11" t="s">
        <v>31</v>
      </c>
      <c r="K11" t="s">
        <v>31</v>
      </c>
      <c r="L11" t="s">
        <v>70</v>
      </c>
      <c r="M11" t="s">
        <v>71</v>
      </c>
    </row>
    <row r="12" spans="1:13" x14ac:dyDescent="0.35">
      <c r="A12" s="18" t="str">
        <f>Before!A12</f>
        <v>2024-11-27_001_RSproLiFePO4-26650-3300mAh_SOC100_Pwr80</v>
      </c>
      <c r="B12" s="18" t="str">
        <f>Before!E12</f>
        <v>241127-001</v>
      </c>
      <c r="C12" s="18">
        <f>Mass!N12</f>
        <v>69.90000000000002</v>
      </c>
      <c r="D12" s="18">
        <f>Mass!O12</f>
        <v>79.236666666666679</v>
      </c>
      <c r="E12" t="s">
        <v>31</v>
      </c>
      <c r="F12" t="s">
        <v>31</v>
      </c>
      <c r="G12" t="s">
        <v>41</v>
      </c>
      <c r="H12" t="s">
        <v>41</v>
      </c>
      <c r="I12" t="s">
        <v>41</v>
      </c>
      <c r="J12" t="s">
        <v>31</v>
      </c>
      <c r="K12" t="s">
        <v>31</v>
      </c>
      <c r="L12" t="s">
        <v>70</v>
      </c>
      <c r="M12" t="s">
        <v>71</v>
      </c>
    </row>
    <row r="13" spans="1:13" x14ac:dyDescent="0.35">
      <c r="A13" s="18" t="str">
        <f>Before!A13</f>
        <v>2024-11-27_002_RSproLiFePO4-26650-3300mAh_SOC100_Pwr80</v>
      </c>
      <c r="B13" s="18" t="str">
        <f>Before!E13</f>
        <v>241127-002</v>
      </c>
      <c r="C13" s="18">
        <f>Mass!N13</f>
        <v>69.126666666666679</v>
      </c>
      <c r="D13" s="18">
        <f>Mass!O13</f>
        <v>79.176666666666677</v>
      </c>
      <c r="E13" t="s">
        <v>31</v>
      </c>
      <c r="F13" t="s">
        <v>31</v>
      </c>
      <c r="G13" t="s">
        <v>41</v>
      </c>
      <c r="H13" t="s">
        <v>41</v>
      </c>
      <c r="I13" t="s">
        <v>41</v>
      </c>
      <c r="J13" t="s">
        <v>31</v>
      </c>
      <c r="K13" t="s">
        <v>31</v>
      </c>
      <c r="L13" t="s">
        <v>70</v>
      </c>
      <c r="M13" t="s">
        <v>71</v>
      </c>
    </row>
    <row r="14" spans="1:13" x14ac:dyDescent="0.35">
      <c r="A14" s="18" t="str">
        <f>Before!A14</f>
        <v>2025-01-29_003_RSproLiFePO4-18650-1600mAh_SOC100_Pwr40</v>
      </c>
      <c r="B14" s="18" t="str">
        <f>Before!E14</f>
        <v>250129-003</v>
      </c>
      <c r="C14" s="18">
        <f>Mass!N14</f>
        <v>32.757000000000005</v>
      </c>
      <c r="D14" s="18">
        <f>Mass!O14</f>
        <v>41.70066666666667</v>
      </c>
      <c r="E14" t="s">
        <v>31</v>
      </c>
      <c r="F14" t="s">
        <v>31</v>
      </c>
      <c r="G14" t="s">
        <v>41</v>
      </c>
      <c r="H14" t="s">
        <v>41</v>
      </c>
      <c r="I14" t="s">
        <v>41</v>
      </c>
      <c r="J14" t="s">
        <v>31</v>
      </c>
      <c r="K14" t="s">
        <v>31</v>
      </c>
      <c r="L14" t="s">
        <v>70</v>
      </c>
      <c r="M14" t="s">
        <v>71</v>
      </c>
    </row>
    <row r="15" spans="1:13" x14ac:dyDescent="0.35">
      <c r="A15" s="18" t="str">
        <f>Before!A15</f>
        <v>2025-01-29_004_RSproLiFePO4-18650-1600mAh_SOC100_Pwr40</v>
      </c>
      <c r="B15" s="18" t="str">
        <f>Before!E15</f>
        <v>250129-004</v>
      </c>
      <c r="C15" s="18">
        <f>Mass!N15</f>
        <v>33.845999999999997</v>
      </c>
      <c r="D15" s="18">
        <f>Mass!O15</f>
        <v>42.669999999999995</v>
      </c>
      <c r="E15" t="s">
        <v>31</v>
      </c>
      <c r="F15" t="s">
        <v>31</v>
      </c>
      <c r="G15" t="s">
        <v>41</v>
      </c>
      <c r="H15" t="s">
        <v>41</v>
      </c>
      <c r="I15" t="s">
        <v>41</v>
      </c>
      <c r="J15" t="s">
        <v>31</v>
      </c>
      <c r="K15" t="s">
        <v>31</v>
      </c>
      <c r="L15" t="s">
        <v>31</v>
      </c>
      <c r="M15" t="s">
        <v>70</v>
      </c>
    </row>
    <row r="16" spans="1:13" x14ac:dyDescent="0.35">
      <c r="A16" s="18" t="str">
        <f>Before!A16</f>
        <v>2025-01-29_005_RSproLiFePO4-18650-1600mAh_SOC100_Pwr40</v>
      </c>
      <c r="B16" s="18" t="str">
        <f>Before!E16</f>
        <v>250129-005</v>
      </c>
      <c r="C16" s="18">
        <f>Mass!N16</f>
        <v>33.396333333333338</v>
      </c>
      <c r="D16" s="18">
        <f>Mass!O16</f>
        <v>42.163333333333334</v>
      </c>
      <c r="E16" t="s">
        <v>31</v>
      </c>
      <c r="F16" t="s">
        <v>31</v>
      </c>
      <c r="G16" t="s">
        <v>41</v>
      </c>
      <c r="H16" t="s">
        <v>41</v>
      </c>
      <c r="I16" t="s">
        <v>41</v>
      </c>
      <c r="J16" t="s">
        <v>31</v>
      </c>
      <c r="K16" t="s">
        <v>31</v>
      </c>
      <c r="L16" t="s">
        <v>31</v>
      </c>
      <c r="M16" t="s">
        <v>70</v>
      </c>
    </row>
    <row r="17" spans="1:13" x14ac:dyDescent="0.35">
      <c r="A17" s="18" t="str">
        <f>Before!A17</f>
        <v>2025-01-30_001_RSproLiFePO4-18650-1600mAh_SOC100_Pwr40</v>
      </c>
      <c r="B17" s="18" t="str">
        <f>Before!E17</f>
        <v>250130-001</v>
      </c>
      <c r="C17" s="18">
        <f>Mass!N17</f>
        <v>33.724000000000004</v>
      </c>
      <c r="D17" s="18">
        <f>Mass!O17</f>
        <v>42.750333333333337</v>
      </c>
      <c r="E17" t="s">
        <v>31</v>
      </c>
      <c r="F17" t="s">
        <v>31</v>
      </c>
      <c r="G17" t="s">
        <v>41</v>
      </c>
      <c r="H17" t="s">
        <v>41</v>
      </c>
      <c r="I17" t="s">
        <v>41</v>
      </c>
      <c r="J17" t="s">
        <v>31</v>
      </c>
      <c r="K17" t="s">
        <v>31</v>
      </c>
      <c r="L17" t="s">
        <v>31</v>
      </c>
      <c r="M17" t="s">
        <v>70</v>
      </c>
    </row>
    <row r="18" spans="1:13" x14ac:dyDescent="0.35">
      <c r="A18" s="18" t="str">
        <f>Before!A18</f>
        <v>2025-01-30_002_RSproLiFePO4-18650-1600mAh_SOC100_Pwr40</v>
      </c>
      <c r="B18" s="18" t="str">
        <f>Before!E18</f>
        <v>250130-002</v>
      </c>
      <c r="C18" s="18">
        <f>Mass!N18</f>
        <v>32.879333333333335</v>
      </c>
      <c r="D18" s="18">
        <f>Mass!O18</f>
        <v>41.520333333333333</v>
      </c>
      <c r="E18" t="s">
        <v>31</v>
      </c>
      <c r="F18" t="s">
        <v>31</v>
      </c>
      <c r="G18" t="s">
        <v>41</v>
      </c>
      <c r="H18" t="s">
        <v>41</v>
      </c>
      <c r="I18" t="s">
        <v>41</v>
      </c>
      <c r="J18" t="s">
        <v>31</v>
      </c>
      <c r="K18" t="s">
        <v>31</v>
      </c>
      <c r="L18" t="s">
        <v>70</v>
      </c>
      <c r="M18" t="s">
        <v>71</v>
      </c>
    </row>
    <row r="19" spans="1:13" x14ac:dyDescent="0.35">
      <c r="A19" s="18" t="str">
        <f>Before!A19</f>
        <v>2025-01-30_003_RSproLiFePO4-18650-1600mAh_SOC100_Pwr40</v>
      </c>
      <c r="B19" s="18" t="str">
        <f>Before!E19</f>
        <v>250130-003</v>
      </c>
      <c r="C19" s="18">
        <f>Mass!N19</f>
        <v>32.381</v>
      </c>
      <c r="D19" s="18">
        <f>Mass!O19</f>
        <v>41.231333333333332</v>
      </c>
      <c r="E19" t="s">
        <v>31</v>
      </c>
      <c r="F19" t="s">
        <v>31</v>
      </c>
      <c r="G19" t="s">
        <v>41</v>
      </c>
      <c r="H19" t="s">
        <v>41</v>
      </c>
      <c r="I19" t="s">
        <v>41</v>
      </c>
      <c r="J19" t="s">
        <v>31</v>
      </c>
      <c r="K19" t="s">
        <v>31</v>
      </c>
      <c r="L19" t="s">
        <v>70</v>
      </c>
      <c r="M19" t="s">
        <v>71</v>
      </c>
    </row>
    <row r="20" spans="1:13" x14ac:dyDescent="0.35">
      <c r="A20" s="18" t="str">
        <f>Before!A20</f>
        <v>2025-01-30_004_RSproLiFePO4-18650-1600mAh_SOC100_Pwr40</v>
      </c>
      <c r="B20" s="18" t="str">
        <f>Before!E20</f>
        <v>250130-004</v>
      </c>
      <c r="C20" s="18">
        <f>Mass!N20</f>
        <v>32.713999999999999</v>
      </c>
      <c r="D20" s="18">
        <f>Mass!O20</f>
        <v>42.120000000000005</v>
      </c>
      <c r="E20" t="s">
        <v>31</v>
      </c>
      <c r="F20" t="s">
        <v>31</v>
      </c>
      <c r="G20" t="s">
        <v>41</v>
      </c>
      <c r="H20" t="s">
        <v>41</v>
      </c>
      <c r="I20" t="s">
        <v>41</v>
      </c>
      <c r="J20" t="s">
        <v>31</v>
      </c>
      <c r="K20" t="s">
        <v>31</v>
      </c>
      <c r="L20" t="s">
        <v>31</v>
      </c>
      <c r="M20" t="s">
        <v>70</v>
      </c>
    </row>
    <row r="21" spans="1:13" x14ac:dyDescent="0.35">
      <c r="A21" s="18" t="str">
        <f>Before!A21</f>
        <v>2025-01-30_005_RSproLiFePO4-18650-1600mAh_SOC100_Pwr40</v>
      </c>
      <c r="B21" s="18" t="str">
        <f>Before!E21</f>
        <v>250130-005</v>
      </c>
      <c r="C21" s="18">
        <f>Mass!N21</f>
        <v>33.131333333333338</v>
      </c>
      <c r="D21" s="18">
        <f>Mass!O21</f>
        <v>42.31066666666667</v>
      </c>
      <c r="E21" t="s">
        <v>31</v>
      </c>
      <c r="F21" t="s">
        <v>31</v>
      </c>
      <c r="G21" t="s">
        <v>41</v>
      </c>
      <c r="H21" t="s">
        <v>41</v>
      </c>
      <c r="I21" t="s">
        <v>41</v>
      </c>
      <c r="J21" t="s">
        <v>31</v>
      </c>
      <c r="K21" t="s">
        <v>31</v>
      </c>
      <c r="L21" t="s">
        <v>31</v>
      </c>
      <c r="M21" t="s">
        <v>70</v>
      </c>
    </row>
    <row r="22" spans="1:13" x14ac:dyDescent="0.35">
      <c r="A22" s="18" t="str">
        <f>Before!A22</f>
        <v>2025-02-11_001_RSproLiFePO4-18650-1600mAh_SOC100_Pwr40</v>
      </c>
      <c r="B22" s="18" t="str">
        <f>Before!E22</f>
        <v>250211-001</v>
      </c>
      <c r="C22" s="18">
        <f>Mass!N22</f>
        <v>36.315555555555548</v>
      </c>
      <c r="D22" s="18">
        <f>Mass!O22</f>
        <v>41.727333333333327</v>
      </c>
      <c r="E22" t="s">
        <v>31</v>
      </c>
      <c r="F22" t="s">
        <v>31</v>
      </c>
      <c r="G22" t="s">
        <v>41</v>
      </c>
      <c r="H22" t="s">
        <v>41</v>
      </c>
      <c r="I22" t="s">
        <v>41</v>
      </c>
      <c r="J22" t="s">
        <v>31</v>
      </c>
      <c r="K22" t="s">
        <v>31</v>
      </c>
      <c r="L22" t="s">
        <v>70</v>
      </c>
      <c r="M22" t="s">
        <v>71</v>
      </c>
    </row>
    <row r="23" spans="1:13" x14ac:dyDescent="0.35">
      <c r="A23" s="18" t="str">
        <f>Before!A23</f>
        <v>2025-02-11_002_RSproLiFePO4-18650-1600mAh_SOC100_Pwr40</v>
      </c>
      <c r="B23" s="18" t="str">
        <f>Before!E23</f>
        <v>250211-002</v>
      </c>
      <c r="C23" s="18">
        <f>Mass!N23</f>
        <v>35.822000000000003</v>
      </c>
      <c r="D23" s="18">
        <f>Mass!O23</f>
        <v>41.305</v>
      </c>
      <c r="E23" t="s">
        <v>31</v>
      </c>
      <c r="F23" t="s">
        <v>31</v>
      </c>
      <c r="G23" t="s">
        <v>41</v>
      </c>
      <c r="H23" t="s">
        <v>41</v>
      </c>
      <c r="I23" t="s">
        <v>41</v>
      </c>
      <c r="J23" t="s">
        <v>31</v>
      </c>
      <c r="K23" t="s">
        <v>31</v>
      </c>
      <c r="L23" t="s">
        <v>70</v>
      </c>
      <c r="M23" t="s">
        <v>71</v>
      </c>
    </row>
    <row r="24" spans="1:13" x14ac:dyDescent="0.35">
      <c r="A24" s="18" t="str">
        <f>Before!A24</f>
        <v>2025-02-11_003_RSproLiFePO4-18650-1600mAh_SOC100_Pwr40</v>
      </c>
      <c r="B24" s="18" t="str">
        <f>Before!E24</f>
        <v>250211-003</v>
      </c>
      <c r="C24" s="18">
        <f>Mass!N24</f>
        <v>36.912444444444432</v>
      </c>
      <c r="D24" s="18">
        <f>Mass!O24</f>
        <v>42.082666666666661</v>
      </c>
      <c r="E24" t="s">
        <v>31</v>
      </c>
      <c r="F24" t="s">
        <v>31</v>
      </c>
      <c r="G24" t="s">
        <v>41</v>
      </c>
      <c r="H24" t="s">
        <v>41</v>
      </c>
      <c r="I24" t="s">
        <v>41</v>
      </c>
      <c r="J24" t="s">
        <v>31</v>
      </c>
      <c r="K24" t="s">
        <v>31</v>
      </c>
      <c r="L24" t="s">
        <v>31</v>
      </c>
      <c r="M24" t="s">
        <v>70</v>
      </c>
    </row>
    <row r="25" spans="1:13" x14ac:dyDescent="0.35">
      <c r="A25" s="18" t="str">
        <f>Before!A25</f>
        <v>2025-02-11_004_RSproLiFePO4-18650-1600mAh_SOC100_Pwr40</v>
      </c>
      <c r="B25" s="18" t="str">
        <f>Before!E25</f>
        <v>250211-004</v>
      </c>
      <c r="C25" s="18">
        <f>Mass!N25</f>
        <v>36.498222222222232</v>
      </c>
      <c r="D25" s="18">
        <f>Mass!O25</f>
        <v>41.777666666666669</v>
      </c>
      <c r="E25" t="s">
        <v>31</v>
      </c>
      <c r="F25" t="s">
        <v>31</v>
      </c>
      <c r="G25" t="s">
        <v>41</v>
      </c>
      <c r="H25" t="s">
        <v>41</v>
      </c>
      <c r="I25" t="s">
        <v>41</v>
      </c>
      <c r="J25" t="s">
        <v>31</v>
      </c>
      <c r="K25" t="s">
        <v>31</v>
      </c>
      <c r="L25" t="s">
        <v>31</v>
      </c>
      <c r="M25" t="s">
        <v>70</v>
      </c>
    </row>
    <row r="26" spans="1:13" x14ac:dyDescent="0.35">
      <c r="A26" s="18" t="str">
        <f>Before!A26</f>
        <v>2025-02-12_001_RSproLiFePO4-18650-1600mAh_SOC100_Pwr40</v>
      </c>
      <c r="B26" s="18" t="str">
        <f>Before!E26</f>
        <v>250212-001</v>
      </c>
      <c r="C26" s="18">
        <f>Mass!N26</f>
        <v>36.589222222222233</v>
      </c>
      <c r="D26" s="18">
        <f>Mass!O26</f>
        <v>42.022666666666673</v>
      </c>
      <c r="E26" t="s">
        <v>31</v>
      </c>
      <c r="F26" t="s">
        <v>31</v>
      </c>
      <c r="G26" t="s">
        <v>41</v>
      </c>
      <c r="H26" t="s">
        <v>41</v>
      </c>
      <c r="I26" t="s">
        <v>41</v>
      </c>
      <c r="J26" t="s">
        <v>31</v>
      </c>
      <c r="K26" t="s">
        <v>31</v>
      </c>
      <c r="L26" t="s">
        <v>70</v>
      </c>
      <c r="M26" t="s">
        <v>71</v>
      </c>
    </row>
    <row r="27" spans="1:13" x14ac:dyDescent="0.35">
      <c r="A27" s="18" t="str">
        <f>Before!A27</f>
        <v>2025-02-12_002_RSproLiFePO4-18650-1600mAh_SOC100_Pwr40</v>
      </c>
      <c r="B27" s="18" t="str">
        <f>Before!E27</f>
        <v>250212-002</v>
      </c>
      <c r="C27" s="18">
        <f>Mass!N27</f>
        <v>35.87455555555556</v>
      </c>
      <c r="D27" s="18">
        <f>Mass!O27</f>
        <v>41.477000000000004</v>
      </c>
      <c r="E27" t="s">
        <v>31</v>
      </c>
      <c r="F27" t="s">
        <v>31</v>
      </c>
      <c r="G27" t="s">
        <v>41</v>
      </c>
      <c r="H27" t="s">
        <v>41</v>
      </c>
      <c r="I27" t="s">
        <v>41</v>
      </c>
      <c r="J27" t="s">
        <v>31</v>
      </c>
      <c r="K27" t="s">
        <v>31</v>
      </c>
      <c r="L27" t="s">
        <v>70</v>
      </c>
      <c r="M27" t="s">
        <v>71</v>
      </c>
    </row>
    <row r="28" spans="1:13" x14ac:dyDescent="0.35">
      <c r="A28" s="18" t="str">
        <f>Before!A28</f>
        <v>2025-02-12_003_RSproLiFePO4-18650-1600mAh_SOC100_Pwr40</v>
      </c>
      <c r="B28" s="18" t="str">
        <f>Before!E28</f>
        <v>250212-003</v>
      </c>
      <c r="C28" s="18">
        <f>Mass!N28</f>
        <v>36.777777777777771</v>
      </c>
      <c r="D28" s="18">
        <f>Mass!O28</f>
        <v>42.220666666666666</v>
      </c>
      <c r="E28" t="s">
        <v>31</v>
      </c>
      <c r="F28" t="s">
        <v>31</v>
      </c>
      <c r="G28" t="s">
        <v>41</v>
      </c>
      <c r="H28" t="s">
        <v>41</v>
      </c>
      <c r="I28" t="s">
        <v>41</v>
      </c>
      <c r="J28" t="s">
        <v>31</v>
      </c>
      <c r="K28" t="s">
        <v>31</v>
      </c>
      <c r="L28" t="s">
        <v>31</v>
      </c>
      <c r="M28" t="s">
        <v>70</v>
      </c>
    </row>
    <row r="29" spans="1:13" x14ac:dyDescent="0.35">
      <c r="A29" s="18" t="str">
        <f>Before!A29</f>
        <v>2025-02-12_004_RSproLiFePO4-18650-1600mAh_SOC100_Pwr40</v>
      </c>
      <c r="B29" s="18" t="str">
        <f>Before!E29</f>
        <v>250212-004</v>
      </c>
      <c r="C29" s="18">
        <f>Mass!N29</f>
        <v>38.448</v>
      </c>
      <c r="D29" s="18">
        <f>Mass!O29</f>
        <v>42.948666666666668</v>
      </c>
      <c r="E29" t="s">
        <v>31</v>
      </c>
      <c r="F29" t="s">
        <v>31</v>
      </c>
      <c r="G29" t="s">
        <v>41</v>
      </c>
      <c r="H29" t="s">
        <v>41</v>
      </c>
      <c r="I29" t="s">
        <v>41</v>
      </c>
      <c r="J29" t="s">
        <v>31</v>
      </c>
      <c r="K29" t="s">
        <v>31</v>
      </c>
      <c r="L29" t="s">
        <v>31</v>
      </c>
      <c r="M29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9"/>
  <sheetViews>
    <sheetView workbookViewId="0">
      <selection activeCell="T17" sqref="T17"/>
    </sheetView>
  </sheetViews>
  <sheetFormatPr defaultRowHeight="14.5" x14ac:dyDescent="0.35"/>
  <cols>
    <col min="1" max="1" width="56.26953125" bestFit="1" customWidth="1"/>
    <col min="2" max="2" width="10.453125" customWidth="1"/>
    <col min="3" max="4" width="8.7265625" style="12"/>
    <col min="5" max="5" width="8.7265625" style="30"/>
    <col min="6" max="6" width="11.81640625" style="28" customWidth="1"/>
    <col min="7" max="7" width="11.54296875" style="12" customWidth="1"/>
    <col min="8" max="8" width="12.1796875" style="14" customWidth="1"/>
    <col min="12" max="13" width="8.7265625" style="22"/>
    <col min="14" max="15" width="8.7265625" style="18"/>
  </cols>
  <sheetData>
    <row r="1" spans="1:15" ht="58" x14ac:dyDescent="0.35">
      <c r="A1" s="3" t="s">
        <v>13</v>
      </c>
      <c r="B1" s="3" t="s">
        <v>12</v>
      </c>
      <c r="C1" s="11" t="s">
        <v>46</v>
      </c>
      <c r="D1" s="11" t="s">
        <v>45</v>
      </c>
      <c r="E1" s="29" t="s">
        <v>47</v>
      </c>
      <c r="F1" s="27" t="s">
        <v>48</v>
      </c>
      <c r="G1" s="11" t="s">
        <v>49</v>
      </c>
      <c r="H1" s="13" t="s">
        <v>50</v>
      </c>
      <c r="I1" s="5" t="s">
        <v>51</v>
      </c>
      <c r="J1" s="5" t="s">
        <v>52</v>
      </c>
      <c r="K1" s="5" t="s">
        <v>53</v>
      </c>
      <c r="L1" s="21" t="s">
        <v>14</v>
      </c>
      <c r="M1" s="21" t="s">
        <v>17</v>
      </c>
      <c r="N1" s="19" t="s">
        <v>15</v>
      </c>
      <c r="O1" s="19" t="s">
        <v>16</v>
      </c>
    </row>
    <row r="2" spans="1:15" x14ac:dyDescent="0.35">
      <c r="A2" t="str">
        <f>Before!A2</f>
        <v>2024-10-29_001_RSproLiFePO4-18650-1600mAh_SOC100_Pwr40</v>
      </c>
      <c r="B2" t="str">
        <f>Before!E2</f>
        <v>241029-001</v>
      </c>
      <c r="C2" s="12">
        <v>40.302999999999997</v>
      </c>
      <c r="D2" s="12">
        <v>40.305</v>
      </c>
      <c r="E2" s="30">
        <v>40.305999999999997</v>
      </c>
      <c r="F2" s="28">
        <v>49.445</v>
      </c>
      <c r="G2" s="12">
        <v>49.447000000000003</v>
      </c>
      <c r="H2" s="14">
        <v>49.448999999999998</v>
      </c>
      <c r="I2" s="26">
        <v>42.268999999999998</v>
      </c>
      <c r="J2" s="26">
        <v>42.268999999999998</v>
      </c>
      <c r="K2" s="26">
        <v>42.268999999999998</v>
      </c>
      <c r="L2" s="22">
        <f>AVERAGE(C2:E2)</f>
        <v>40.30466666666667</v>
      </c>
      <c r="M2" s="22">
        <f t="shared" ref="M2:M29" si="0">AVERAGE(F2:H2)</f>
        <v>49.447000000000003</v>
      </c>
      <c r="N2" s="18">
        <f>L2-(M2-O2)</f>
        <v>33.126666666666665</v>
      </c>
      <c r="O2" s="18">
        <f>AVERAGE(I2:K2)</f>
        <v>42.268999999999998</v>
      </c>
    </row>
    <row r="3" spans="1:15" x14ac:dyDescent="0.35">
      <c r="A3" t="str">
        <f>Before!A3</f>
        <v>2024-10-30_001_RSproLiFePO4-18650-1600mAh_SOC100_Pwr40</v>
      </c>
      <c r="B3" t="str">
        <f>Before!E3</f>
        <v>241030-001</v>
      </c>
      <c r="C3" s="12">
        <v>39.845999999999997</v>
      </c>
      <c r="D3" s="12">
        <v>39.847999999999999</v>
      </c>
      <c r="E3" s="30">
        <v>39.85</v>
      </c>
      <c r="F3" s="28">
        <v>48.732999999999997</v>
      </c>
      <c r="G3" s="12">
        <v>48.734000000000002</v>
      </c>
      <c r="H3" s="14">
        <v>48.734000000000002</v>
      </c>
      <c r="I3" s="26">
        <v>41.125</v>
      </c>
      <c r="J3" s="26">
        <v>41.125</v>
      </c>
      <c r="K3" s="26">
        <v>41.122999999999998</v>
      </c>
      <c r="L3" s="22">
        <f t="shared" ref="L3:L21" si="1">AVERAGE(C3:E3)</f>
        <v>39.847999999999992</v>
      </c>
      <c r="M3" s="22">
        <f t="shared" si="0"/>
        <v>48.733666666666664</v>
      </c>
      <c r="N3" s="18">
        <f t="shared" ref="N3:N29" si="2">L3-(M3-O3)</f>
        <v>32.23866666666666</v>
      </c>
      <c r="O3" s="18">
        <f t="shared" ref="O3:O29" si="3">AVERAGE(I3:K3)</f>
        <v>41.124333333333333</v>
      </c>
    </row>
    <row r="4" spans="1:15" x14ac:dyDescent="0.35">
      <c r="A4" t="str">
        <f>Before!A4</f>
        <v>2024-10-30_002_RSproLiFePO4-18650-1600mAh_SOC100_Pwr40</v>
      </c>
      <c r="B4" t="str">
        <f>Before!E4</f>
        <v>241030-002</v>
      </c>
      <c r="C4" s="12">
        <v>39.875999999999998</v>
      </c>
      <c r="D4" s="12">
        <v>39.877000000000002</v>
      </c>
      <c r="E4" s="30">
        <v>39.875999999999998</v>
      </c>
      <c r="F4" s="28">
        <v>48.68</v>
      </c>
      <c r="G4" s="12">
        <v>48.682000000000002</v>
      </c>
      <c r="H4" s="14">
        <v>48.683</v>
      </c>
      <c r="I4" s="26">
        <v>41.191000000000003</v>
      </c>
      <c r="J4">
        <v>41.195999999999998</v>
      </c>
      <c r="K4">
        <v>41.195</v>
      </c>
      <c r="L4" s="22">
        <f t="shared" si="1"/>
        <v>39.876333333333328</v>
      </c>
      <c r="M4" s="22">
        <f t="shared" si="0"/>
        <v>48.681666666666665</v>
      </c>
      <c r="N4" s="18">
        <f t="shared" si="2"/>
        <v>32.388666666666659</v>
      </c>
      <c r="O4" s="18">
        <f t="shared" si="3"/>
        <v>41.193999999999996</v>
      </c>
    </row>
    <row r="5" spans="1:15" x14ac:dyDescent="0.35">
      <c r="A5" t="str">
        <f>Before!A5</f>
        <v>2024-10-30_003_RSproLiFePO4-18650-1600mAh_SOC100_Pwr40</v>
      </c>
      <c r="B5" t="str">
        <f>Before!E5</f>
        <v>241030-003</v>
      </c>
      <c r="C5" s="12">
        <v>39.988999999999997</v>
      </c>
      <c r="D5" s="12">
        <v>39.984000000000002</v>
      </c>
      <c r="E5" s="30">
        <v>39.994</v>
      </c>
      <c r="F5" s="28">
        <v>49.158999999999999</v>
      </c>
      <c r="G5" s="12">
        <v>49.158000000000001</v>
      </c>
      <c r="H5" s="14">
        <v>49.158000000000001</v>
      </c>
      <c r="I5" s="26">
        <v>41.545000000000002</v>
      </c>
      <c r="J5" s="26">
        <v>41.543999999999997</v>
      </c>
      <c r="K5" s="26">
        <v>41.54</v>
      </c>
      <c r="L5" s="22">
        <f t="shared" si="1"/>
        <v>39.988999999999997</v>
      </c>
      <c r="M5" s="22">
        <f t="shared" si="0"/>
        <v>49.158333333333339</v>
      </c>
      <c r="N5" s="18">
        <f t="shared" si="2"/>
        <v>32.373666666666658</v>
      </c>
      <c r="O5" s="18">
        <f t="shared" si="3"/>
        <v>41.542999999999999</v>
      </c>
    </row>
    <row r="6" spans="1:15" x14ac:dyDescent="0.35">
      <c r="A6" t="str">
        <f>Before!A6</f>
        <v>2024-10-30_004_RSproLiFePO4-18650-1600mAh_SOC100_Pwr40</v>
      </c>
      <c r="B6" t="str">
        <f>Before!E6</f>
        <v>241030-004</v>
      </c>
      <c r="C6" s="12">
        <v>39.905999999999999</v>
      </c>
      <c r="D6" s="12">
        <v>39.902999999999999</v>
      </c>
      <c r="E6" s="30">
        <v>39.904000000000003</v>
      </c>
      <c r="F6" s="28">
        <v>49.04</v>
      </c>
      <c r="G6" s="12">
        <v>49.036000000000001</v>
      </c>
      <c r="H6" s="14">
        <v>49.04</v>
      </c>
      <c r="I6" s="26">
        <v>42.026000000000003</v>
      </c>
      <c r="J6" s="26">
        <v>42.027000000000001</v>
      </c>
      <c r="K6" s="26">
        <v>42.033000000000001</v>
      </c>
      <c r="L6" s="22">
        <f t="shared" si="1"/>
        <v>39.904333333333334</v>
      </c>
      <c r="M6" s="22">
        <f t="shared" si="0"/>
        <v>49.038666666666664</v>
      </c>
      <c r="N6" s="18">
        <f t="shared" si="2"/>
        <v>32.894333333333336</v>
      </c>
      <c r="O6" s="18">
        <f t="shared" si="3"/>
        <v>42.028666666666666</v>
      </c>
    </row>
    <row r="7" spans="1:15" x14ac:dyDescent="0.35">
      <c r="A7" t="str">
        <f>Before!A7</f>
        <v>2024-10-30_005_RSproLiFePO4-18650-1600mAh_SOC100_Pwr40</v>
      </c>
      <c r="B7" t="str">
        <f>Before!E7</f>
        <v>241030-005</v>
      </c>
      <c r="C7" s="12">
        <v>40.037999999999997</v>
      </c>
      <c r="D7" s="12">
        <v>40.040999999999997</v>
      </c>
      <c r="E7" s="30">
        <v>40.036999999999999</v>
      </c>
      <c r="F7" s="28">
        <v>49.235999999999997</v>
      </c>
      <c r="G7" s="12">
        <v>49.234999999999999</v>
      </c>
      <c r="H7" s="14">
        <v>49.232999999999997</v>
      </c>
      <c r="I7" s="26">
        <v>42.866999999999997</v>
      </c>
      <c r="J7">
        <v>42.863999999999997</v>
      </c>
      <c r="K7">
        <v>42.859000000000002</v>
      </c>
      <c r="L7" s="22">
        <f t="shared" si="1"/>
        <v>40.038666666666664</v>
      </c>
      <c r="M7" s="22">
        <f t="shared" si="0"/>
        <v>49.234666666666669</v>
      </c>
      <c r="N7" s="18">
        <f t="shared" si="2"/>
        <v>33.667333333333332</v>
      </c>
      <c r="O7" s="18">
        <f t="shared" si="3"/>
        <v>42.863333333333337</v>
      </c>
    </row>
    <row r="8" spans="1:15" x14ac:dyDescent="0.35">
      <c r="A8" t="str">
        <f>Before!A8</f>
        <v>2025-01-29_001_RSproLiFePO4-18650-1600mAh_SOC100_Pwr40</v>
      </c>
      <c r="B8" t="str">
        <f>Before!E8</f>
        <v>250129-001</v>
      </c>
      <c r="C8" s="12">
        <v>40.128999999999998</v>
      </c>
      <c r="D8" s="12">
        <v>40.131999999999998</v>
      </c>
      <c r="E8" s="30">
        <v>40.134</v>
      </c>
      <c r="F8" s="28">
        <v>48.823</v>
      </c>
      <c r="G8" s="12">
        <v>48.823</v>
      </c>
      <c r="H8" s="14">
        <v>48.823999999999998</v>
      </c>
      <c r="I8" s="26">
        <v>41.472999999999999</v>
      </c>
      <c r="J8">
        <v>41.478999999999999</v>
      </c>
      <c r="K8">
        <v>41.478999999999999</v>
      </c>
      <c r="L8" s="22">
        <f t="shared" si="1"/>
        <v>40.131666666666668</v>
      </c>
      <c r="M8" s="22">
        <f t="shared" si="0"/>
        <v>48.823333333333331</v>
      </c>
      <c r="N8" s="18">
        <f t="shared" si="2"/>
        <v>32.785333333333334</v>
      </c>
      <c r="O8" s="18">
        <f t="shared" si="3"/>
        <v>41.476999999999997</v>
      </c>
    </row>
    <row r="9" spans="1:15" x14ac:dyDescent="0.35">
      <c r="A9" t="str">
        <f>Before!A9</f>
        <v>2025-01-29_002_RSproLiFePO4-18650-1600mAh_SOC100_Pwr40</v>
      </c>
      <c r="B9" t="str">
        <f>Before!E9</f>
        <v>250129-002</v>
      </c>
      <c r="C9" s="12">
        <v>39.698</v>
      </c>
      <c r="D9" s="12">
        <v>39.677</v>
      </c>
      <c r="E9" s="30">
        <v>39.674999999999997</v>
      </c>
      <c r="F9" s="28">
        <v>48.195</v>
      </c>
      <c r="G9" s="12">
        <v>48.198</v>
      </c>
      <c r="H9" s="14">
        <v>48.2</v>
      </c>
      <c r="I9" s="26">
        <v>40.841000000000001</v>
      </c>
      <c r="J9">
        <v>40.825000000000003</v>
      </c>
      <c r="K9">
        <v>40.817</v>
      </c>
      <c r="L9" s="22">
        <f t="shared" si="1"/>
        <v>39.68333333333333</v>
      </c>
      <c r="M9" s="22">
        <f t="shared" si="0"/>
        <v>48.19766666666667</v>
      </c>
      <c r="N9" s="18">
        <f t="shared" si="2"/>
        <v>32.313333333333325</v>
      </c>
      <c r="O9" s="18">
        <f t="shared" si="3"/>
        <v>40.827666666666666</v>
      </c>
    </row>
    <row r="10" spans="1:15" x14ac:dyDescent="0.35">
      <c r="A10" t="str">
        <f>Before!A10</f>
        <v>2024-11-26_001_RSproLiFePO4-26650-3300mAh_SOC100_Pwr80</v>
      </c>
      <c r="B10" t="str">
        <f>Before!E10</f>
        <v>241126-001</v>
      </c>
      <c r="C10" s="12">
        <v>84.09</v>
      </c>
      <c r="D10" s="12">
        <v>84.09</v>
      </c>
      <c r="E10" s="30">
        <v>84.09</v>
      </c>
      <c r="F10" s="28">
        <v>94.85</v>
      </c>
      <c r="G10" s="12">
        <v>94.85</v>
      </c>
      <c r="H10" s="14">
        <v>94.84</v>
      </c>
      <c r="I10">
        <v>80.11</v>
      </c>
      <c r="J10">
        <v>80.099999999999994</v>
      </c>
      <c r="K10">
        <v>80.09</v>
      </c>
      <c r="L10" s="22">
        <f t="shared" si="1"/>
        <v>84.09</v>
      </c>
      <c r="M10" s="22">
        <f t="shared" si="0"/>
        <v>94.84666666666665</v>
      </c>
      <c r="N10" s="18">
        <f t="shared" si="2"/>
        <v>69.343333333333348</v>
      </c>
      <c r="O10" s="18">
        <f t="shared" si="3"/>
        <v>80.099999999999994</v>
      </c>
    </row>
    <row r="11" spans="1:15" x14ac:dyDescent="0.35">
      <c r="A11" t="str">
        <f>Before!A11</f>
        <v>2024-11-26_002_RSproLiFePO4-26650-3300mAh_SOC100_Pwr80</v>
      </c>
      <c r="B11" t="str">
        <f>Before!E11</f>
        <v>241126-002</v>
      </c>
      <c r="C11" s="12">
        <v>83.87</v>
      </c>
      <c r="D11" s="12">
        <v>83.86</v>
      </c>
      <c r="E11" s="30">
        <v>83.86</v>
      </c>
      <c r="F11" s="28">
        <v>94.34</v>
      </c>
      <c r="G11" s="12">
        <v>94.34</v>
      </c>
      <c r="H11" s="14">
        <v>94.34</v>
      </c>
      <c r="I11">
        <v>73.38</v>
      </c>
      <c r="J11">
        <v>73.37</v>
      </c>
      <c r="K11">
        <v>78.540000000000006</v>
      </c>
      <c r="L11" s="22">
        <f t="shared" si="1"/>
        <v>83.863333333333344</v>
      </c>
      <c r="M11" s="22">
        <f t="shared" si="0"/>
        <v>94.339999999999989</v>
      </c>
      <c r="N11" s="18">
        <f t="shared" si="2"/>
        <v>64.620000000000033</v>
      </c>
      <c r="O11" s="18">
        <f t="shared" si="3"/>
        <v>75.096666666666678</v>
      </c>
    </row>
    <row r="12" spans="1:15" x14ac:dyDescent="0.35">
      <c r="A12" t="str">
        <f>Before!A12</f>
        <v>2024-11-27_001_RSproLiFePO4-26650-3300mAh_SOC100_Pwr80</v>
      </c>
      <c r="B12" t="str">
        <f>Before!E12</f>
        <v>241127-001</v>
      </c>
      <c r="C12" s="12">
        <v>84.42</v>
      </c>
      <c r="D12" s="12">
        <v>84.44</v>
      </c>
      <c r="E12" s="30">
        <v>84.44</v>
      </c>
      <c r="F12" s="28">
        <v>93.77</v>
      </c>
      <c r="G12" s="12">
        <v>93.77</v>
      </c>
      <c r="H12" s="14">
        <v>93.77</v>
      </c>
      <c r="I12">
        <v>79.25</v>
      </c>
      <c r="J12">
        <v>79.23</v>
      </c>
      <c r="K12">
        <v>79.23</v>
      </c>
      <c r="L12" s="22">
        <f t="shared" si="1"/>
        <v>84.433333333333337</v>
      </c>
      <c r="M12" s="22">
        <f t="shared" si="0"/>
        <v>93.77</v>
      </c>
      <c r="N12" s="18">
        <f t="shared" si="2"/>
        <v>69.90000000000002</v>
      </c>
      <c r="O12" s="18">
        <f t="shared" si="3"/>
        <v>79.236666666666679</v>
      </c>
    </row>
    <row r="13" spans="1:15" x14ac:dyDescent="0.35">
      <c r="A13" t="str">
        <f>Before!A13</f>
        <v>2024-11-27_002_RSproLiFePO4-26650-3300mAh_SOC100_Pwr80</v>
      </c>
      <c r="B13" t="str">
        <f>Before!E13</f>
        <v>241127-002</v>
      </c>
      <c r="C13" s="12">
        <v>83.93</v>
      </c>
      <c r="D13" s="12">
        <v>83.93</v>
      </c>
      <c r="E13" s="12">
        <v>83.93</v>
      </c>
      <c r="F13" s="28">
        <v>93.99</v>
      </c>
      <c r="G13" s="12">
        <v>93.97</v>
      </c>
      <c r="H13" s="14">
        <v>93.98</v>
      </c>
      <c r="I13" s="26">
        <v>79.11</v>
      </c>
      <c r="J13" s="26">
        <v>79.19</v>
      </c>
      <c r="K13" s="26">
        <v>79.23</v>
      </c>
      <c r="L13" s="22">
        <f t="shared" si="1"/>
        <v>83.93</v>
      </c>
      <c r="M13" s="22">
        <f t="shared" si="0"/>
        <v>93.98</v>
      </c>
      <c r="N13" s="18">
        <f t="shared" si="2"/>
        <v>69.126666666666679</v>
      </c>
      <c r="O13" s="18">
        <f t="shared" si="3"/>
        <v>79.176666666666677</v>
      </c>
    </row>
    <row r="14" spans="1:15" x14ac:dyDescent="0.35">
      <c r="A14" t="str">
        <f>Before!A14</f>
        <v>2025-01-29_003_RSproLiFePO4-18650-1600mAh_SOC100_Pwr40</v>
      </c>
      <c r="B14" t="str">
        <f>Before!E14</f>
        <v>250129-003</v>
      </c>
      <c r="C14" s="12">
        <v>40.186</v>
      </c>
      <c r="D14" s="12">
        <v>40.185000000000002</v>
      </c>
      <c r="E14" s="30">
        <v>40.186</v>
      </c>
      <c r="F14" s="28">
        <v>49.125999999999998</v>
      </c>
      <c r="G14" s="12">
        <v>49.128999999999998</v>
      </c>
      <c r="H14" s="14">
        <v>49.133000000000003</v>
      </c>
      <c r="I14">
        <v>41.7</v>
      </c>
      <c r="J14">
        <v>41.698999999999998</v>
      </c>
      <c r="K14">
        <v>41.703000000000003</v>
      </c>
      <c r="L14" s="22">
        <f t="shared" si="1"/>
        <v>40.18566666666667</v>
      </c>
      <c r="M14" s="22">
        <f t="shared" si="0"/>
        <v>49.129333333333335</v>
      </c>
      <c r="N14" s="18">
        <f t="shared" si="2"/>
        <v>32.757000000000005</v>
      </c>
      <c r="O14" s="18">
        <f t="shared" si="3"/>
        <v>41.70066666666667</v>
      </c>
    </row>
    <row r="15" spans="1:15" x14ac:dyDescent="0.35">
      <c r="A15" t="str">
        <f>Before!A15</f>
        <v>2025-01-29_004_RSproLiFePO4-18650-1600mAh_SOC100_Pwr40</v>
      </c>
      <c r="B15" t="str">
        <f>Before!E15</f>
        <v>250129-004</v>
      </c>
      <c r="C15" s="12">
        <v>40.298999999999999</v>
      </c>
      <c r="D15" s="12">
        <v>40.296999999999997</v>
      </c>
      <c r="E15" s="30">
        <v>40.295999999999999</v>
      </c>
      <c r="F15" s="28">
        <v>49.122999999999998</v>
      </c>
      <c r="G15" s="12">
        <v>49.122</v>
      </c>
      <c r="H15" s="14">
        <v>49.119</v>
      </c>
      <c r="I15">
        <v>42.665999999999997</v>
      </c>
      <c r="J15">
        <v>42.667999999999999</v>
      </c>
      <c r="K15">
        <v>42.676000000000002</v>
      </c>
      <c r="L15" s="22">
        <f t="shared" si="1"/>
        <v>40.297333333333334</v>
      </c>
      <c r="M15" s="22">
        <f t="shared" si="0"/>
        <v>49.121333333333332</v>
      </c>
      <c r="N15" s="18">
        <f t="shared" si="2"/>
        <v>33.845999999999997</v>
      </c>
      <c r="O15" s="18">
        <f t="shared" si="3"/>
        <v>42.669999999999995</v>
      </c>
    </row>
    <row r="16" spans="1:15" x14ac:dyDescent="0.35">
      <c r="A16" t="str">
        <f>Before!A16</f>
        <v>2025-01-29_005_RSproLiFePO4-18650-1600mAh_SOC100_Pwr40</v>
      </c>
      <c r="B16" t="str">
        <f>Before!E16</f>
        <v>250129-005</v>
      </c>
      <c r="C16" s="12">
        <v>40.292000000000002</v>
      </c>
      <c r="D16" s="12">
        <v>40.290999999999997</v>
      </c>
      <c r="E16" s="30">
        <v>40.281999999999996</v>
      </c>
      <c r="F16" s="28">
        <v>49.055999999999997</v>
      </c>
      <c r="G16" s="12">
        <v>49.055999999999997</v>
      </c>
      <c r="H16" s="14">
        <v>49.054000000000002</v>
      </c>
      <c r="I16">
        <v>42.158000000000001</v>
      </c>
      <c r="J16">
        <v>42.164999999999999</v>
      </c>
      <c r="K16">
        <v>42.167000000000002</v>
      </c>
      <c r="L16" s="22">
        <f t="shared" si="1"/>
        <v>40.288333333333334</v>
      </c>
      <c r="M16" s="22">
        <f t="shared" si="0"/>
        <v>49.05533333333333</v>
      </c>
      <c r="N16" s="18">
        <f t="shared" si="2"/>
        <v>33.396333333333338</v>
      </c>
      <c r="O16" s="18">
        <f t="shared" si="3"/>
        <v>42.163333333333334</v>
      </c>
    </row>
    <row r="17" spans="1:15" x14ac:dyDescent="0.35">
      <c r="A17" t="str">
        <f>Before!A17</f>
        <v>2025-01-30_001_RSproLiFePO4-18650-1600mAh_SOC100_Pwr40</v>
      </c>
      <c r="B17" t="str">
        <f>Before!E17</f>
        <v>250130-001</v>
      </c>
      <c r="C17" s="12">
        <v>40.28</v>
      </c>
      <c r="D17" s="12">
        <v>40.280999999999999</v>
      </c>
      <c r="E17" s="30">
        <v>40.277000000000001</v>
      </c>
      <c r="F17" s="28">
        <v>49.31</v>
      </c>
      <c r="G17" s="12">
        <v>49.307000000000002</v>
      </c>
      <c r="H17" s="14">
        <v>49.3</v>
      </c>
      <c r="I17">
        <v>42.741</v>
      </c>
      <c r="J17">
        <v>42.753999999999998</v>
      </c>
      <c r="K17">
        <v>42.756</v>
      </c>
      <c r="L17" s="22">
        <f t="shared" si="1"/>
        <v>40.279333333333334</v>
      </c>
      <c r="M17" s="22">
        <f t="shared" si="0"/>
        <v>49.305666666666667</v>
      </c>
      <c r="N17" s="18">
        <f t="shared" si="2"/>
        <v>33.724000000000004</v>
      </c>
      <c r="O17" s="18">
        <f t="shared" si="3"/>
        <v>42.750333333333337</v>
      </c>
    </row>
    <row r="18" spans="1:15" x14ac:dyDescent="0.35">
      <c r="A18" t="str">
        <f>Before!A18</f>
        <v>2025-01-30_002_RSproLiFePO4-18650-1600mAh_SOC100_Pwr40</v>
      </c>
      <c r="B18" t="str">
        <f>Before!E18</f>
        <v>250130-002</v>
      </c>
      <c r="C18" s="12">
        <v>40.325000000000003</v>
      </c>
      <c r="D18" s="12">
        <v>40.328000000000003</v>
      </c>
      <c r="E18" s="30">
        <v>40.329000000000001</v>
      </c>
      <c r="F18" s="28">
        <v>48.963000000000001</v>
      </c>
      <c r="G18" s="12">
        <v>48.966999999999999</v>
      </c>
      <c r="H18" s="14">
        <v>48.975000000000001</v>
      </c>
      <c r="I18">
        <v>41.529000000000003</v>
      </c>
      <c r="J18">
        <v>41.515999999999998</v>
      </c>
      <c r="K18">
        <v>41.515999999999998</v>
      </c>
      <c r="L18" s="22">
        <f t="shared" si="1"/>
        <v>40.327333333333335</v>
      </c>
      <c r="M18" s="22">
        <f t="shared" si="0"/>
        <v>48.968333333333334</v>
      </c>
      <c r="N18" s="18">
        <f t="shared" si="2"/>
        <v>32.879333333333335</v>
      </c>
      <c r="O18" s="18">
        <f t="shared" si="3"/>
        <v>41.520333333333333</v>
      </c>
    </row>
    <row r="19" spans="1:15" x14ac:dyDescent="0.35">
      <c r="A19" t="str">
        <f>Before!A19</f>
        <v>2025-01-30_003_RSproLiFePO4-18650-1600mAh_SOC100_Pwr40</v>
      </c>
      <c r="B19" t="str">
        <f>Before!E19</f>
        <v>250130-003</v>
      </c>
      <c r="C19" s="12">
        <v>39.923000000000002</v>
      </c>
      <c r="D19" s="12">
        <v>39.929000000000002</v>
      </c>
      <c r="E19" s="30">
        <v>39.923999999999999</v>
      </c>
      <c r="F19" s="28">
        <v>48.779000000000003</v>
      </c>
      <c r="G19" s="12">
        <v>48.773000000000003</v>
      </c>
      <c r="H19" s="14">
        <v>48.774999999999999</v>
      </c>
      <c r="I19">
        <v>41.246000000000002</v>
      </c>
      <c r="J19">
        <v>41.222000000000001</v>
      </c>
      <c r="K19">
        <v>41.225999999999999</v>
      </c>
      <c r="L19" s="22">
        <f t="shared" si="1"/>
        <v>39.925333333333334</v>
      </c>
      <c r="M19" s="22">
        <f t="shared" si="0"/>
        <v>48.775666666666666</v>
      </c>
      <c r="N19" s="18">
        <f t="shared" si="2"/>
        <v>32.381</v>
      </c>
      <c r="O19" s="18">
        <f t="shared" si="3"/>
        <v>41.231333333333332</v>
      </c>
    </row>
    <row r="20" spans="1:15" x14ac:dyDescent="0.35">
      <c r="A20" t="str">
        <f>Before!A20</f>
        <v>2025-01-30_004_RSproLiFePO4-18650-1600mAh_SOC100_Pwr40</v>
      </c>
      <c r="B20" t="str">
        <f>Before!E20</f>
        <v>250130-004</v>
      </c>
      <c r="C20" s="12">
        <v>40.026000000000003</v>
      </c>
      <c r="D20" s="12">
        <v>40.030999999999999</v>
      </c>
      <c r="E20" s="30">
        <v>40.031999999999996</v>
      </c>
      <c r="F20" s="28">
        <v>49.433999999999997</v>
      </c>
      <c r="G20" s="12">
        <v>49.435000000000002</v>
      </c>
      <c r="H20" s="14">
        <v>49.438000000000002</v>
      </c>
      <c r="I20">
        <v>42.122</v>
      </c>
      <c r="J20">
        <v>42.116999999999997</v>
      </c>
      <c r="K20">
        <v>42.121000000000002</v>
      </c>
      <c r="L20" s="22">
        <f t="shared" si="1"/>
        <v>40.029666666666664</v>
      </c>
      <c r="M20" s="22">
        <f t="shared" si="0"/>
        <v>49.43566666666667</v>
      </c>
      <c r="N20" s="18">
        <f t="shared" si="2"/>
        <v>32.713999999999999</v>
      </c>
      <c r="O20" s="18">
        <f t="shared" si="3"/>
        <v>42.120000000000005</v>
      </c>
    </row>
    <row r="21" spans="1:15" x14ac:dyDescent="0.35">
      <c r="A21" t="str">
        <f>Before!A21</f>
        <v>2025-01-30_005_RSproLiFePO4-18650-1600mAh_SOC100_Pwr40</v>
      </c>
      <c r="B21" t="str">
        <f>Before!E21</f>
        <v>250130-005</v>
      </c>
      <c r="C21" s="12">
        <v>39.951999999999998</v>
      </c>
      <c r="D21" s="12">
        <v>39.957999999999998</v>
      </c>
      <c r="E21" s="30">
        <v>39.950000000000003</v>
      </c>
      <c r="F21" s="28">
        <v>49.139000000000003</v>
      </c>
      <c r="G21" s="12">
        <v>49.128999999999998</v>
      </c>
      <c r="H21" s="14">
        <v>49.13</v>
      </c>
      <c r="I21">
        <v>42.311</v>
      </c>
      <c r="J21">
        <v>42.308999999999997</v>
      </c>
      <c r="K21">
        <v>42.311999999999998</v>
      </c>
      <c r="L21" s="22">
        <f t="shared" si="1"/>
        <v>39.953333333333333</v>
      </c>
      <c r="M21" s="22">
        <f t="shared" si="0"/>
        <v>49.132666666666665</v>
      </c>
      <c r="N21" s="18">
        <f t="shared" si="2"/>
        <v>33.131333333333338</v>
      </c>
      <c r="O21" s="18">
        <f t="shared" si="3"/>
        <v>42.31066666666667</v>
      </c>
    </row>
    <row r="22" spans="1:15" x14ac:dyDescent="0.35">
      <c r="A22" t="str">
        <f>Before!A22</f>
        <v>2025-02-11_001_RSproLiFePO4-18650-1600mAh_SOC100_Pwr40</v>
      </c>
      <c r="B22" t="str">
        <f>Before!E22</f>
        <v>250211-001</v>
      </c>
      <c r="C22" s="12">
        <v>40.067999999999998</v>
      </c>
      <c r="D22" s="12">
        <v>40.067</v>
      </c>
      <c r="E22" s="30">
        <v>40.067</v>
      </c>
      <c r="F22" s="28">
        <v>49.014000000000003</v>
      </c>
      <c r="G22" s="12">
        <v>49.012999999999998</v>
      </c>
      <c r="H22" s="14">
        <v>49.018000000000001</v>
      </c>
      <c r="I22">
        <v>41.725000000000001</v>
      </c>
      <c r="J22">
        <v>41.731999999999999</v>
      </c>
      <c r="K22">
        <v>41.725000000000001</v>
      </c>
      <c r="L22" s="22">
        <f t="shared" ref="L22:L28" si="4">AVERAGE(C22:K22)</f>
        <v>43.603222222222229</v>
      </c>
      <c r="M22" s="22">
        <f t="shared" si="0"/>
        <v>49.015000000000008</v>
      </c>
      <c r="N22" s="18">
        <f t="shared" si="2"/>
        <v>36.315555555555548</v>
      </c>
      <c r="O22" s="18">
        <f t="shared" si="3"/>
        <v>41.727333333333327</v>
      </c>
    </row>
    <row r="23" spans="1:15" x14ac:dyDescent="0.35">
      <c r="A23" t="str">
        <f>Before!A23</f>
        <v>2025-02-11_002_RSproLiFePO4-18650-1600mAh_SOC100_Pwr40</v>
      </c>
      <c r="B23" t="str">
        <f>Before!E23</f>
        <v>250211-002</v>
      </c>
      <c r="C23" s="12">
        <v>40.04</v>
      </c>
      <c r="D23" s="12">
        <v>40.036999999999999</v>
      </c>
      <c r="E23" s="30">
        <v>40.036999999999999</v>
      </c>
      <c r="F23" s="28">
        <v>48.89</v>
      </c>
      <c r="G23" s="12">
        <v>48.899000000000001</v>
      </c>
      <c r="H23" s="14">
        <v>48.899000000000001</v>
      </c>
      <c r="I23">
        <v>41.302999999999997</v>
      </c>
      <c r="J23">
        <v>41.302999999999997</v>
      </c>
      <c r="K23">
        <v>41.308999999999997</v>
      </c>
      <c r="L23" s="22">
        <f t="shared" si="4"/>
        <v>43.412999999999997</v>
      </c>
      <c r="M23" s="22">
        <f t="shared" si="0"/>
        <v>48.895999999999994</v>
      </c>
      <c r="N23" s="18">
        <f t="shared" si="2"/>
        <v>35.822000000000003</v>
      </c>
      <c r="O23" s="18">
        <f t="shared" si="3"/>
        <v>41.305</v>
      </c>
    </row>
    <row r="24" spans="1:15" x14ac:dyDescent="0.35">
      <c r="A24" t="str">
        <f>Before!A24</f>
        <v>2025-02-11_003_RSproLiFePO4-18650-1600mAh_SOC100_Pwr40</v>
      </c>
      <c r="B24" t="str">
        <f>Before!E24</f>
        <v>250211-003</v>
      </c>
      <c r="C24" s="12">
        <v>39.951999999999998</v>
      </c>
      <c r="D24" s="12">
        <v>39.944000000000003</v>
      </c>
      <c r="E24" s="30">
        <v>39.948</v>
      </c>
      <c r="F24" s="28">
        <v>48.768000000000001</v>
      </c>
      <c r="G24" s="12">
        <v>48.77</v>
      </c>
      <c r="H24" s="14">
        <v>48.774000000000001</v>
      </c>
      <c r="I24">
        <v>42.076999999999998</v>
      </c>
      <c r="J24">
        <v>42.076999999999998</v>
      </c>
      <c r="K24">
        <v>42.094000000000001</v>
      </c>
      <c r="L24" s="22">
        <f t="shared" si="4"/>
        <v>43.600444444444442</v>
      </c>
      <c r="M24" s="22">
        <f t="shared" si="0"/>
        <v>48.770666666666671</v>
      </c>
      <c r="N24" s="18">
        <f t="shared" si="2"/>
        <v>36.912444444444432</v>
      </c>
      <c r="O24" s="18">
        <f t="shared" si="3"/>
        <v>42.082666666666661</v>
      </c>
    </row>
    <row r="25" spans="1:15" x14ac:dyDescent="0.35">
      <c r="A25" t="str">
        <f>Before!A25</f>
        <v>2025-02-11_004_RSproLiFePO4-18650-1600mAh_SOC100_Pwr40</v>
      </c>
      <c r="B25" t="str">
        <f>Before!E25</f>
        <v>250211-004</v>
      </c>
      <c r="C25" s="12">
        <v>40.045000000000002</v>
      </c>
      <c r="D25" s="12">
        <v>40.055999999999997</v>
      </c>
      <c r="E25" s="30">
        <v>40.048999999999999</v>
      </c>
      <c r="F25" s="28">
        <v>48.829000000000001</v>
      </c>
      <c r="G25" s="12">
        <v>48.831000000000003</v>
      </c>
      <c r="H25" s="14">
        <v>48.838999999999999</v>
      </c>
      <c r="I25">
        <v>41.773000000000003</v>
      </c>
      <c r="J25">
        <v>41.777999999999999</v>
      </c>
      <c r="K25">
        <v>41.781999999999996</v>
      </c>
      <c r="L25" s="22">
        <f t="shared" si="4"/>
        <v>43.553555555555562</v>
      </c>
      <c r="M25" s="22">
        <f t="shared" si="0"/>
        <v>48.832999999999998</v>
      </c>
      <c r="N25" s="18">
        <f t="shared" si="2"/>
        <v>36.498222222222232</v>
      </c>
      <c r="O25" s="18">
        <f t="shared" si="3"/>
        <v>41.777666666666669</v>
      </c>
    </row>
    <row r="26" spans="1:15" x14ac:dyDescent="0.35">
      <c r="A26" t="str">
        <f>Before!A26</f>
        <v>2025-02-12_001_RSproLiFePO4-18650-1600mAh_SOC100_Pwr40</v>
      </c>
      <c r="B26" t="str">
        <f>Before!E26</f>
        <v>250212-001</v>
      </c>
      <c r="C26" s="12">
        <v>40.420999999999999</v>
      </c>
      <c r="D26" s="12">
        <v>40.427</v>
      </c>
      <c r="E26" s="30">
        <v>40.420999999999999</v>
      </c>
      <c r="F26" s="28">
        <v>49.372</v>
      </c>
      <c r="G26" s="12">
        <v>49.374000000000002</v>
      </c>
      <c r="H26" s="14">
        <v>49.372999999999998</v>
      </c>
      <c r="I26">
        <v>42.024000000000001</v>
      </c>
      <c r="J26">
        <v>42.024999999999999</v>
      </c>
      <c r="K26">
        <v>42.018999999999998</v>
      </c>
      <c r="L26" s="22">
        <f t="shared" si="4"/>
        <v>43.939555555555557</v>
      </c>
      <c r="M26" s="22">
        <f t="shared" si="0"/>
        <v>49.372999999999998</v>
      </c>
      <c r="N26" s="18">
        <f t="shared" si="2"/>
        <v>36.589222222222233</v>
      </c>
      <c r="O26" s="18">
        <f t="shared" si="3"/>
        <v>42.022666666666673</v>
      </c>
    </row>
    <row r="27" spans="1:15" x14ac:dyDescent="0.35">
      <c r="A27" t="str">
        <f>Before!A27</f>
        <v>2025-02-12_002_RSproLiFePO4-18650-1600mAh_SOC100_Pwr40</v>
      </c>
      <c r="B27" t="str">
        <f>Before!E27</f>
        <v>250212-002</v>
      </c>
      <c r="C27" s="12">
        <v>39.909999999999997</v>
      </c>
      <c r="D27" s="12">
        <v>39.902000000000001</v>
      </c>
      <c r="E27" s="30">
        <v>39.899000000000001</v>
      </c>
      <c r="F27" s="28">
        <v>49.085000000000001</v>
      </c>
      <c r="G27" s="12">
        <v>49.1</v>
      </c>
      <c r="H27" s="14">
        <v>49.097000000000001</v>
      </c>
      <c r="I27">
        <v>41.48</v>
      </c>
      <c r="J27">
        <v>41.472999999999999</v>
      </c>
      <c r="K27">
        <v>41.478000000000002</v>
      </c>
      <c r="L27" s="22">
        <f t="shared" si="4"/>
        <v>43.491555555555557</v>
      </c>
      <c r="M27" s="22">
        <f t="shared" si="0"/>
        <v>49.094000000000001</v>
      </c>
      <c r="N27" s="18">
        <f t="shared" si="2"/>
        <v>35.87455555555556</v>
      </c>
      <c r="O27" s="18">
        <f t="shared" si="3"/>
        <v>41.477000000000004</v>
      </c>
    </row>
    <row r="28" spans="1:15" x14ac:dyDescent="0.35">
      <c r="A28" t="str">
        <f>Before!A28</f>
        <v>2025-02-12_003_RSproLiFePO4-18650-1600mAh_SOC100_Pwr40</v>
      </c>
      <c r="B28" t="str">
        <f>Before!E28</f>
        <v>250212-003</v>
      </c>
      <c r="C28" s="12">
        <v>39.963000000000001</v>
      </c>
      <c r="D28" s="12">
        <v>39.957999999999998</v>
      </c>
      <c r="E28" s="30">
        <v>39.963000000000001</v>
      </c>
      <c r="F28" s="28">
        <v>49.249000000000002</v>
      </c>
      <c r="G28" s="12">
        <v>49.262999999999998</v>
      </c>
      <c r="H28" s="14">
        <v>49.253999999999998</v>
      </c>
      <c r="I28">
        <v>42.219000000000001</v>
      </c>
      <c r="J28">
        <v>42.213999999999999</v>
      </c>
      <c r="K28">
        <v>42.228999999999999</v>
      </c>
      <c r="L28" s="22">
        <f t="shared" si="4"/>
        <v>43.812444444444438</v>
      </c>
      <c r="M28" s="22">
        <f t="shared" si="0"/>
        <v>49.255333333333333</v>
      </c>
      <c r="N28" s="18">
        <f t="shared" si="2"/>
        <v>36.777777777777771</v>
      </c>
      <c r="O28" s="18">
        <f t="shared" si="3"/>
        <v>42.220666666666666</v>
      </c>
    </row>
    <row r="29" spans="1:15" x14ac:dyDescent="0.35">
      <c r="A29" t="str">
        <f>Before!A29</f>
        <v>2025-02-12_004_RSproLiFePO4-18650-1600mAh_SOC100_Pwr40</v>
      </c>
      <c r="B29" t="str">
        <f>Before!E29</f>
        <v>250212-004</v>
      </c>
      <c r="C29" s="12">
        <v>40.396000000000001</v>
      </c>
      <c r="D29" s="12">
        <v>40.392000000000003</v>
      </c>
      <c r="E29" s="30">
        <v>40.393999999999998</v>
      </c>
      <c r="F29" s="28">
        <v>49.4</v>
      </c>
      <c r="G29" s="12">
        <v>49.390999999999998</v>
      </c>
      <c r="H29" s="14">
        <v>49.395000000000003</v>
      </c>
      <c r="I29">
        <v>42.945</v>
      </c>
      <c r="J29">
        <v>42.948999999999998</v>
      </c>
      <c r="K29">
        <v>42.951999999999998</v>
      </c>
      <c r="L29" s="22">
        <f>AVERAGE(C29:H29)</f>
        <v>44.894666666666666</v>
      </c>
      <c r="M29" s="22">
        <f t="shared" si="0"/>
        <v>49.395333333333333</v>
      </c>
      <c r="N29" s="18">
        <f t="shared" si="2"/>
        <v>38.448</v>
      </c>
      <c r="O29" s="18">
        <f t="shared" si="3"/>
        <v>42.948666666666668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7"/>
  <sheetViews>
    <sheetView workbookViewId="0">
      <selection sqref="A1:B1"/>
    </sheetView>
  </sheetViews>
  <sheetFormatPr defaultRowHeight="14.5" x14ac:dyDescent="0.35"/>
  <cols>
    <col min="2" max="2" width="10.26953125" bestFit="1" customWidth="1"/>
  </cols>
  <sheetData>
    <row r="2" spans="1:2" x14ac:dyDescent="0.35">
      <c r="A2" t="s">
        <v>20</v>
      </c>
      <c r="B2" t="s">
        <v>18</v>
      </c>
    </row>
    <row r="3" spans="1:2" x14ac:dyDescent="0.35">
      <c r="A3" t="s">
        <v>19</v>
      </c>
      <c r="B3" t="s">
        <v>25</v>
      </c>
    </row>
    <row r="4" spans="1:2" x14ac:dyDescent="0.35">
      <c r="A4" t="s">
        <v>23</v>
      </c>
      <c r="B4" t="s">
        <v>26</v>
      </c>
    </row>
    <row r="5" spans="1:2" x14ac:dyDescent="0.35">
      <c r="A5" t="s">
        <v>24</v>
      </c>
    </row>
    <row r="6" spans="1:2" x14ac:dyDescent="0.35">
      <c r="A6" t="s">
        <v>22</v>
      </c>
    </row>
    <row r="7" spans="1:2" x14ac:dyDescent="0.35">
      <c r="A7" t="s">
        <v>21</v>
      </c>
    </row>
  </sheetData>
  <sortState xmlns:xlrd2="http://schemas.microsoft.com/office/spreadsheetml/2017/richdata2" ref="A2:A7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Before</vt:lpstr>
      <vt:lpstr>Cycling data</vt:lpstr>
      <vt:lpstr>After</vt:lpstr>
      <vt:lpstr>Mass</vt:lpstr>
      <vt:lpstr>DropDowns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Bugryniec</dc:creator>
  <cp:lastModifiedBy>Peter Bugryniec</cp:lastModifiedBy>
  <dcterms:created xsi:type="dcterms:W3CDTF">2024-06-19T14:02:24Z</dcterms:created>
  <dcterms:modified xsi:type="dcterms:W3CDTF">2025-09-03T14:11:18Z</dcterms:modified>
</cp:coreProperties>
</file>